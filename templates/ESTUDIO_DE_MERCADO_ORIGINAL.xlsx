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9705959-5EB1-4DC2-928A-873973052950}" xr6:coauthVersionLast="47" xr6:coauthVersionMax="47" xr10:uidLastSave="{00000000-0000-0000-0000-000000000000}"/>
  <bookViews>
    <workbookView xWindow="-120" yWindow="-120" windowWidth="29040" windowHeight="15720" xr2:uid="{D7235288-3627-4142-B373-92046DC54B93}"/>
  </bookViews>
  <sheets>
    <sheet name="Hoja1" sheetId="1" r:id="rId1"/>
    <sheet name="Hoja2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E21" i="2"/>
  <c r="E22" i="2"/>
  <c r="E19" i="2"/>
  <c r="D22" i="2"/>
  <c r="D21" i="2"/>
  <c r="D20" i="2"/>
  <c r="D19" i="2"/>
  <c r="B22" i="2"/>
  <c r="B21" i="2"/>
  <c r="B20" i="2"/>
  <c r="B19" i="2"/>
  <c r="B41" i="2"/>
  <c r="A32" i="2"/>
  <c r="A30" i="2"/>
  <c r="E24" i="2"/>
  <c r="C22" i="2"/>
  <c r="A22" i="2"/>
  <c r="C21" i="2"/>
  <c r="A21" i="2"/>
  <c r="C20" i="2"/>
  <c r="A20" i="2"/>
  <c r="C19" i="2"/>
  <c r="A19" i="2"/>
  <c r="A6" i="2"/>
  <c r="A5" i="2"/>
  <c r="E23" i="2" l="1"/>
  <c r="E25" i="2" s="1"/>
  <c r="D78" i="1" l="1"/>
  <c r="D77" i="1"/>
  <c r="C66" i="1"/>
  <c r="C75" i="1" s="1"/>
  <c r="G66" i="1"/>
  <c r="G75" i="1" s="1"/>
  <c r="F69" i="1"/>
  <c r="F76" i="1" s="1"/>
  <c r="H61" i="1"/>
  <c r="H43" i="1"/>
  <c r="I55" i="1" s="1"/>
  <c r="F43" i="1"/>
  <c r="G55" i="1" s="1"/>
  <c r="C24" i="1"/>
  <c r="C30" i="1" s="1"/>
  <c r="C36" i="1" s="1"/>
  <c r="I75" i="1"/>
  <c r="K50" i="1"/>
  <c r="K51" i="1" s="1"/>
  <c r="K52" i="1" s="1"/>
  <c r="L49" i="1"/>
  <c r="I49" i="1"/>
  <c r="G49" i="1"/>
  <c r="L48" i="1"/>
  <c r="I48" i="1"/>
  <c r="G48" i="1"/>
  <c r="L47" i="1"/>
  <c r="I47" i="1"/>
  <c r="G47" i="1"/>
  <c r="L46" i="1"/>
  <c r="I46" i="1"/>
  <c r="G46" i="1"/>
  <c r="J44" i="1"/>
  <c r="J43" i="1"/>
  <c r="K55" i="1" s="1"/>
  <c r="D43" i="1"/>
  <c r="G25" i="1"/>
  <c r="G31" i="1" s="1"/>
  <c r="G37" i="1" s="1"/>
  <c r="J18" i="1"/>
  <c r="J26" i="1" s="1"/>
  <c r="J32" i="1" s="1"/>
  <c r="J38" i="1" s="1"/>
  <c r="K56" i="1" s="1"/>
  <c r="K57" i="1" s="1"/>
  <c r="K58" i="1" s="1"/>
  <c r="G18" i="1"/>
  <c r="G26" i="1" s="1"/>
  <c r="G32" i="1" s="1"/>
  <c r="G38" i="1" s="1"/>
  <c r="C18" i="1"/>
  <c r="C26" i="1" s="1"/>
  <c r="C32" i="1" s="1"/>
  <c r="C38" i="1" s="1"/>
  <c r="J17" i="1"/>
  <c r="J25" i="1" s="1"/>
  <c r="J31" i="1" s="1"/>
  <c r="J37" i="1" s="1"/>
  <c r="I56" i="1" s="1"/>
  <c r="I57" i="1" s="1"/>
  <c r="I58" i="1" s="1"/>
  <c r="C25" i="1"/>
  <c r="C31" i="1" s="1"/>
  <c r="C37" i="1" s="1"/>
  <c r="J16" i="1"/>
  <c r="J24" i="1" s="1"/>
  <c r="J30" i="1" s="1"/>
  <c r="J36" i="1" s="1"/>
  <c r="G56" i="1" s="1"/>
  <c r="G58" i="1" s="1"/>
  <c r="G24" i="1"/>
  <c r="G30" i="1" s="1"/>
  <c r="G36" i="1" s="1"/>
  <c r="G50" i="1" l="1"/>
  <c r="G51" i="1" s="1"/>
  <c r="G52" i="1" s="1"/>
  <c r="E69" i="1" s="1"/>
  <c r="E76" i="1" s="1"/>
  <c r="I50" i="1"/>
  <c r="I51" i="1" s="1"/>
  <c r="I52" i="1" s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B42" authorId="0" shapeId="0" xr:uid="{EC1566D4-A0D6-4539-921F-38352250C4F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<sst xmlns="http://schemas.openxmlformats.org/spreadsheetml/2006/main" count="139" uniqueCount="101">
  <si>
    <t>FECHA DE ELABORACIÓN:</t>
  </si>
  <si>
    <t>EXPEDIENTE No.:</t>
  </si>
  <si>
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</si>
  <si>
    <t>CABE MENCIONAR QUE DICHA (ADQUISICION, O CONTRATACION DEL SERVICIO) SE ENCUENTRA CONSIDERADO EN EL PROGRAMA ANUAL DE ADQUISICIONES Y SERVICIOS 2026</t>
  </si>
  <si>
    <t>ÁREA ADMINISTRATIVA USUARIA</t>
  </si>
  <si>
    <t>CLAVE PROGRAMATICA:</t>
  </si>
  <si>
    <t>PARTIDA PRESUPUESTAL</t>
  </si>
  <si>
    <t xml:space="preserve">OBJETO DE LA CONTRATACIÓN Y/O ADQUISICIÓN: </t>
  </si>
  <si>
    <r>
      <t xml:space="preserve">FUENTES CONSULTADAS
</t>
    </r>
    <r>
      <rPr>
        <sz val="8"/>
        <color theme="1"/>
        <rFont val="Aptos Narrow"/>
        <family val="2"/>
        <scheme val="minor"/>
      </rPr>
      <t>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  </r>
  </si>
  <si>
    <t>N.P</t>
  </si>
  <si>
    <t>PERSONA FISICA O JURIDICO COLECTIVA CONSULTADA</t>
  </si>
  <si>
    <t>NUMERO TELEFONICO DE CONTACTO</t>
  </si>
  <si>
    <t>SE ENCUENTRA REGISTRADA EN EL PADRON DE PROVEEDORES DEL MUNICIPIO</t>
  </si>
  <si>
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</si>
  <si>
    <r>
      <rPr>
        <b/>
        <sz val="8"/>
        <color theme="1"/>
        <rFont val="Aptos Narrow"/>
        <family val="2"/>
        <scheme val="minor"/>
      </rPr>
      <t>A. CANTIDAD</t>
    </r>
    <r>
      <rPr>
        <sz val="8"/>
        <color theme="1"/>
        <rFont val="Aptos Narrow"/>
        <family val="2"/>
        <scheme val="minor"/>
      </rPr>
      <t xml:space="preserve">
DE LOS (PROVEEDORES O PRESTADORES DE SERVICIO) CONSULTADOS, LOS SIGUIENTES COTIZARON LOS (BIENES O SERVICIOS) SOLICITADOS: </t>
    </r>
  </si>
  <si>
    <t>CUMPLE</t>
  </si>
  <si>
    <r>
      <t xml:space="preserve">B. CALIDAD
</t>
    </r>
    <r>
      <rPr>
        <sz val="8"/>
        <color theme="1"/>
        <rFont val="Aptos Narrow"/>
        <family val="2"/>
        <scheme val="minor"/>
      </rPr>
      <t>DE LOS (PROVEEDORES O PRESTADORES DE SERVICIO) CONSULTADOS, LOS SIGUIENTES CUMPLEN CON LAS ESPECIFICACIONES TECNICAS DE LOS (BIENES O SERVICIOS) SOLICITADOS:</t>
    </r>
  </si>
  <si>
    <r>
      <t xml:space="preserve">C. OPORTUNIDAD
</t>
    </r>
    <r>
      <rPr>
        <sz val="8"/>
        <color theme="1"/>
        <rFont val="Aptos Narrow"/>
        <family val="2"/>
        <scheme val="minor"/>
      </rPr>
      <t>DE LOS (PROVEEDORES O PRESTADORES DE SERVICIO) CONSULTADOS, LOS SIGUIENTES CUMPLEN CON LAS ESPECIFICACIONES ADMINISTRATIVAS Y PARAMETROS DE REFERENCIA, RELATIVOS A LOS (BIENES O SERVICIOS) SOLICITADOS:</t>
    </r>
  </si>
  <si>
    <r>
      <rPr>
        <b/>
        <sz val="8"/>
        <color theme="1"/>
        <rFont val="Aptos Narrow"/>
        <family val="2"/>
        <scheme val="minor"/>
      </rPr>
      <t>ALCANCE:</t>
    </r>
    <r>
      <rPr>
        <sz val="8"/>
        <color theme="1"/>
        <rFont val="Aptos Narrow"/>
        <family val="2"/>
        <scheme val="minor"/>
      </rPr>
      <t xml:space="preserve">
DE ACUERDO CON LAS COTIZACIONES OBTENIDAS, PARA DETERMINAR LA EXISTENCIA DEL (BIEN O SERVICIO) Y DE (PROVEEDORES O PRESTADORES DE SERVICIOS), ASI COMO CONOCER EL PRECIO QUE PREVALECE EN EL MERCADO, SE PRESENTA EL SIGUIENTE ESTUDIO DE MERCADO:</t>
    </r>
  </si>
  <si>
    <t>FECHA</t>
  </si>
  <si>
    <t>COTIZACIÓN 1</t>
  </si>
  <si>
    <t>COTIZACIÓN 2</t>
  </si>
  <si>
    <t>COTIZACION 3</t>
  </si>
  <si>
    <t xml:space="preserve">DESCRIPCION </t>
  </si>
  <si>
    <t>UNIDAD DE MEDIDA</t>
  </si>
  <si>
    <t>CANTIDAD</t>
  </si>
  <si>
    <t>PRECIO UNITARIO</t>
  </si>
  <si>
    <t>IMPORTE</t>
  </si>
  <si>
    <t>PRECIO PROMEDIO  DE REFERENCIA</t>
  </si>
  <si>
    <t>SERVICIO</t>
  </si>
  <si>
    <t>SUBTOTAL</t>
  </si>
  <si>
    <t>I.V.A.</t>
  </si>
  <si>
    <t>TOTAL</t>
  </si>
  <si>
    <t>SIN IVA</t>
  </si>
  <si>
    <t xml:space="preserve">CONDICIONES COMERCIALES </t>
  </si>
  <si>
    <t>CUMPLEN CON LAS CONDICIONES COMERCIALES (SI/NO)</t>
  </si>
  <si>
    <t>LUGAR DE ENTREGA DE LOS BIENES Y/O SERVICIOS:</t>
  </si>
  <si>
    <t>PLAZO DE ENTREGA O VIGENCIA:</t>
  </si>
  <si>
    <t>DENTRO DE  LOS 10 DÍAS HÁBILES POSTERIORES A LA CONFIRMACIÓN DEL PEDIDO O FIRMA DEL CONTRATO</t>
  </si>
  <si>
    <t>FORMA DE PAGO:</t>
  </si>
  <si>
    <t>DENTRO DE LOS TREINTA DÍAS HÁBILES POSTERIORES A LA ENTREGA TOTAL DE LOS BIENES Y/O SERVICIOS Y  PRESENTACIÓN DE FACTURA A LA TESORERÍA MUNICIPAL DEBIDAMENTE SOPORTADA Y REQUISITADA, CONFORME A LAS CONDICONES ESTABLECIDAD, NO APLICARA EN PAGOS DE ANTICIPOS NI EN RECONOCIMIENTOS DE INTERESES.</t>
  </si>
  <si>
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</si>
  <si>
    <t>EL PRECIO DE REFERENCIA CON IVA INCLUIDO OBTENIDO EN EL ESTUDIO DE MERCADO ASCIENDE A LA CANTIDAD DE:</t>
  </si>
  <si>
    <t>RESULTADO DEL ESTUDIO DE MERCADO Y AUTORIZACION DE INICIACIÓN DEL PROCEDIMIENTO ADQUISITIVO</t>
  </si>
  <si>
    <r>
      <rPr>
        <b/>
        <sz val="8"/>
        <color theme="1"/>
        <rFont val="Aptos Narrow"/>
        <family val="2"/>
        <scheme val="minor"/>
      </rPr>
      <t>PRIMERO.</t>
    </r>
    <r>
      <rPr>
        <sz val="8"/>
        <color theme="1"/>
        <rFont val="Aptos Narrow"/>
        <family val="2"/>
        <scheme val="minor"/>
      </rPr>
      <t xml:space="preserve">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  </r>
  </si>
  <si>
    <t>NOMBRE O RAZÓN SOCIAL:</t>
  </si>
  <si>
    <t>RFC</t>
  </si>
  <si>
    <t>DOMICILIO:</t>
  </si>
  <si>
    <r>
      <rPr>
        <b/>
        <sz val="8"/>
        <color theme="1"/>
        <rFont val="Aptos Narrow"/>
        <family val="2"/>
        <scheme val="minor"/>
      </rPr>
      <t>SEGUNDO.</t>
    </r>
    <r>
      <rPr>
        <sz val="8"/>
        <color theme="1"/>
        <rFont val="Aptos Narrow"/>
        <family val="2"/>
        <scheme val="minor"/>
      </rPr>
      <t xml:space="preserve">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  </r>
  </si>
  <si>
    <t>EL PRECIO TOTAL OFERTADO DE:</t>
  </si>
  <si>
    <r>
      <rPr>
        <b/>
        <sz val="8"/>
        <color theme="1"/>
        <rFont val="Aptos Narrow"/>
        <family val="2"/>
        <scheme val="minor"/>
      </rPr>
      <t>TERCERO.</t>
    </r>
    <r>
      <rPr>
        <sz val="8"/>
        <color theme="1"/>
        <rFont val="Aptos Narrow"/>
        <family val="2"/>
        <scheme val="minor"/>
      </rPr>
      <t xml:space="preserve">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  </r>
  </si>
  <si>
    <r>
      <rPr>
        <b/>
        <sz val="8"/>
        <color theme="1"/>
        <rFont val="Aptos Narrow"/>
        <family val="2"/>
        <scheme val="minor"/>
      </rPr>
      <t>QUINTO</t>
    </r>
    <r>
      <rPr>
        <sz val="8"/>
        <color theme="1"/>
        <rFont val="Aptos Narrow"/>
        <family val="2"/>
        <scheme val="minor"/>
      </rPr>
      <t xml:space="preserve">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  </r>
  </si>
  <si>
    <t>EL PRECIO TOTAL CON IMPUESTOS APLICABLES CORRESPONDIENTE DE:</t>
  </si>
  <si>
    <t>ÁREA ADMINISTRATIVA SOLICITANTE:</t>
  </si>
  <si>
    <t>CLAVE PROGRAMATICA</t>
  </si>
  <si>
    <r>
      <rPr>
        <b/>
        <sz val="8"/>
        <color theme="1"/>
        <rFont val="Aptos Narrow"/>
        <family val="2"/>
        <scheme val="minor"/>
      </rPr>
      <t>SEXTO</t>
    </r>
    <r>
      <rPr>
        <sz val="8"/>
        <color theme="1"/>
        <rFont val="Aptos Narrow"/>
        <family val="2"/>
        <scheme val="minor"/>
      </rPr>
      <t xml:space="preserve">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  </r>
  </si>
  <si>
    <t>ELABORÓ</t>
  </si>
  <si>
    <t>REVISÓ</t>
  </si>
  <si>
    <t>AUTORIZÓ</t>
  </si>
  <si>
    <t>C. ANA LAURA ANTONIO MATEO
AUXILIAR DE ADMINISTRACIÓN</t>
  </si>
  <si>
    <t>MTRA. YARASHED MARTÍNEZ SÁNCHEZ</t>
  </si>
  <si>
    <t>LIC. DANIELA POPOCA RIVERA</t>
  </si>
  <si>
    <t>COORDINADORA DE ADMINISTRACIÓN</t>
  </si>
  <si>
    <t>DIRECTORA DEL SMDIF SAN FELIPE DEL PROGRESO</t>
  </si>
  <si>
    <t>Con fundamento en los artículos 17 y 18 del Reglamento de la Ley de Contratación Pública del Estado de México y Municipios.</t>
  </si>
  <si>
    <t>D00 307 COORDINACIÓN DE ADMINISTRACIÓN</t>
  </si>
  <si>
    <t>0105020603</t>
  </si>
  <si>
    <t>3591 SERVICIOS DE FUMIGACIÓN</t>
  </si>
  <si>
    <t>CONTRATACIÓN DE SERVICIOS DE FUMIGACIÓN, PARA MANTENER LAS INSTALACIONES DEL SMDIF EN CONDICIONES OPTIMAS DE HIGIENE Y SALUBRIDAD PREVINIENDO POSIBLES RIESGOS A LA SALUD, CORRESPONDIENTE AL MES DE AGOSTO DE 2026</t>
  </si>
  <si>
    <t>BERNARDO RECENDIZ AMBROCIO</t>
  </si>
  <si>
    <t>MARIA DEL CARMEN MAAWAD ROBERT</t>
  </si>
  <si>
    <t xml:space="preserve">SERVICIO DE FUMIGACIÓN EN ALMACEN </t>
  </si>
  <si>
    <t>SERVICIO DE FUMIGACIÓN EN COMEDOR COMUNITARIO</t>
  </si>
  <si>
    <t>SERVICIO DE FUMIGACIÓN EN ESTANCIA INFANTIL</t>
  </si>
  <si>
    <t>SERVICIO DE DESINFECCIÓN EN COMEDOR COMUNITARIO</t>
  </si>
  <si>
    <t>MARC5712047Y6</t>
  </si>
  <si>
    <t>REAB940910Q31</t>
  </si>
  <si>
    <t>EN LAS DIFERENTES INSTALACIONES DEL SMDIF, UBICADA EN AV. MORELOS, MZA. 023, CENTRO, SAN FELIPE DEL PROGRESO, MÉXICO. C.P. 50640.</t>
  </si>
  <si>
    <t>No</t>
  </si>
  <si>
    <t>PASEO TLAIXCO 22 EDUCACION, CP: 54880, MELCHOR OCAMPO, ESTADO DE MEXICO, MÉXICO.</t>
  </si>
  <si>
    <t>TIPO DE PROCEDIMIENTO: ADJUDICACIÓN DIRECTA POR CONTRATO PEDIDO</t>
  </si>
  <si>
    <t>07 de agosto 2026</t>
  </si>
  <si>
    <t>DOCE MIL QUINIENTOS VEINTIOCHO PESOS 00/100 M.N.</t>
  </si>
  <si>
    <t>Toluca a</t>
  </si>
  <si>
    <t>SISTEMA MUNICIPAL DIF DE SAN FELIPE DEL PROGRESO</t>
  </si>
  <si>
    <t>PRESENTE</t>
  </si>
  <si>
    <t>POR MEDIO DEL PRESENTE RECIBA UN CORDIAL SALUDO, ASÍ MISMO ENVIAMOS LA SIGUIENTE:</t>
  </si>
  <si>
    <t>COTIZACIÓN</t>
  </si>
  <si>
    <t>CONCEPTO</t>
  </si>
  <si>
    <t>COSTO UNITARIO</t>
  </si>
  <si>
    <t>IMPORTE CON LETRA:</t>
  </si>
  <si>
    <t>CINCO MIL DOSCIENTOS VEINTE PESOS 00/100 M.N.</t>
  </si>
  <si>
    <t>CONDICIONES COMERCIALES:</t>
  </si>
  <si>
    <t xml:space="preserve">LUGAR DE LA PRESTACIÓN DEL SERVICIO O ENTREGA DE BIENES: </t>
  </si>
  <si>
    <t>PLAZO DE ENTREGA DE LOS BIENES Y/O SERVICIOS:</t>
  </si>
  <si>
    <t>VIGENCIA DE LA COTIZACIÓN:</t>
  </si>
  <si>
    <t>45 DIAS POSTERIORES A SU EMISIÓN</t>
  </si>
  <si>
    <t>SIN MAS POR EL MOMENTO Y EN ESPERA DE VERNOS FAVORECIDO QUEDO DE USTED.</t>
  </si>
  <si>
    <t>ATENTAMENTE</t>
  </si>
  <si>
    <t>7 de agosto de 2026.</t>
  </si>
  <si>
    <t>DENTRO DE LOS 30 DIAS HABILES POSTERIORES A LA CONFIRMACIÓN DEL PEDIDO O FIRMA DEL CONTRATO.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</si>
</sst>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[$-80A]d&quot; de &quot;mmmm&quot; de &quot;yyyy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indexed="8"/>
      <name val="Aptos Narrow"/>
      <family val="2"/>
      <scheme val="minor"/>
    </font>
    <font>
      <sz val="8"/>
      <color rgb="FF000000"/>
      <name val="Calibri"/>
      <family val="2"/>
    </font>
    <font>
      <sz val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  <xf numFmtId="164" fontId="2" fillId="0" borderId="2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164" fontId="2" fillId="0" borderId="0" xfId="0" applyNumberFormat="1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64" fontId="5" fillId="0" borderId="5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65" fontId="3" fillId="3" borderId="4" xfId="0" applyNumberFormat="1" applyFont="1" applyFill="1" applyBorder="1" applyAlignment="1">
      <alignment horizontal="center" vertical="center" wrapText="1"/>
    </xf>
    <xf numFmtId="165" fontId="3" fillId="3" borderId="5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164" fontId="3" fillId="3" borderId="4" xfId="3" applyNumberFormat="1" applyFont="1" applyFill="1" applyBorder="1" applyAlignment="1">
      <alignment horizontal="center" vertical="center" wrapText="1"/>
    </xf>
    <xf numFmtId="164" fontId="3" fillId="3" borderId="5" xfId="3" applyNumberFormat="1" applyFont="1" applyFill="1" applyBorder="1" applyAlignment="1">
      <alignment horizontal="center" vertical="center" wrapText="1"/>
    </xf>
    <xf numFmtId="9" fontId="3" fillId="3" borderId="4" xfId="3" applyFont="1" applyFill="1" applyBorder="1" applyAlignment="1">
      <alignment horizontal="center" vertical="center" wrapText="1"/>
    </xf>
    <xf numFmtId="9" fontId="3" fillId="3" borderId="5" xfId="3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5" fontId="3" fillId="3" borderId="10" xfId="0" applyNumberFormat="1" applyFont="1" applyFill="1" applyBorder="1" applyAlignment="1">
      <alignment horizontal="center" vertical="center" wrapText="1"/>
    </xf>
    <xf numFmtId="165" fontId="3" fillId="3" borderId="12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164" fontId="3" fillId="3" borderId="10" xfId="3" applyNumberFormat="1" applyFont="1" applyFill="1" applyBorder="1" applyAlignment="1">
      <alignment horizontal="center" vertical="center" wrapText="1"/>
    </xf>
    <xf numFmtId="164" fontId="3" fillId="3" borderId="12" xfId="3" applyNumberFormat="1" applyFont="1" applyFill="1" applyBorder="1" applyAlignment="1">
      <alignment horizontal="center" vertical="center" wrapText="1"/>
    </xf>
    <xf numFmtId="9" fontId="3" fillId="3" borderId="10" xfId="3" applyFont="1" applyFill="1" applyBorder="1" applyAlignment="1">
      <alignment horizontal="center" vertical="center" wrapText="1"/>
    </xf>
    <xf numFmtId="9" fontId="3" fillId="3" borderId="12" xfId="3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164" fontId="3" fillId="3" borderId="9" xfId="0" applyNumberFormat="1" applyFont="1" applyFill="1" applyBorder="1" applyAlignment="1">
      <alignment horizontal="center" vertical="center" wrapText="1"/>
    </xf>
    <xf numFmtId="1" fontId="7" fillId="4" borderId="9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horizontal="center" vertical="center" wrapText="1"/>
    </xf>
    <xf numFmtId="164" fontId="2" fillId="4" borderId="9" xfId="1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horizontal="right" vertical="center" wrapText="1"/>
    </xf>
    <xf numFmtId="164" fontId="9" fillId="4" borderId="9" xfId="2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horizontal="right" vertical="center" wrapText="1"/>
    </xf>
    <xf numFmtId="164" fontId="2" fillId="4" borderId="15" xfId="0" applyNumberFormat="1" applyFont="1" applyFill="1" applyBorder="1" applyAlignment="1">
      <alignment horizontal="right" vertical="center" wrapText="1"/>
    </xf>
    <xf numFmtId="164" fontId="3" fillId="4" borderId="13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4" borderId="16" xfId="0" applyFont="1" applyFill="1" applyBorder="1" applyAlignment="1">
      <alignment horizontal="right" vertical="center" wrapText="1"/>
    </xf>
    <xf numFmtId="164" fontId="2" fillId="4" borderId="17" xfId="0" applyNumberFormat="1" applyFont="1" applyFill="1" applyBorder="1" applyAlignment="1">
      <alignment horizontal="right" vertical="center" wrapText="1"/>
    </xf>
    <xf numFmtId="164" fontId="2" fillId="4" borderId="16" xfId="0" applyNumberFormat="1" applyFont="1" applyFill="1" applyBorder="1" applyAlignment="1">
      <alignment horizontal="right" vertical="center" wrapText="1"/>
    </xf>
    <xf numFmtId="164" fontId="3" fillId="4" borderId="14" xfId="0" applyNumberFormat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horizontal="right" vertical="center" wrapText="1"/>
    </xf>
    <xf numFmtId="164" fontId="3" fillId="4" borderId="9" xfId="2" applyNumberFormat="1" applyFont="1" applyFill="1" applyBorder="1" applyAlignment="1">
      <alignment horizontal="right" vertical="center" wrapText="1"/>
    </xf>
    <xf numFmtId="164" fontId="2" fillId="4" borderId="18" xfId="0" applyNumberFormat="1" applyFont="1" applyFill="1" applyBorder="1" applyAlignment="1">
      <alignment horizontal="right" vertical="center" wrapText="1"/>
    </xf>
    <xf numFmtId="164" fontId="2" fillId="4" borderId="17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2" fillId="0" borderId="11" xfId="0" applyFont="1" applyBorder="1" applyAlignment="1">
      <alignment horizontal="right" vertical="center" wrapText="1"/>
    </xf>
    <xf numFmtId="164" fontId="3" fillId="0" borderId="8" xfId="2" applyNumberFormat="1" applyFont="1" applyBorder="1" applyAlignment="1">
      <alignment horizontal="right" wrapText="1"/>
    </xf>
    <xf numFmtId="164" fontId="2" fillId="0" borderId="11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wrapText="1"/>
    </xf>
    <xf numFmtId="164" fontId="3" fillId="0" borderId="12" xfId="2" applyNumberFormat="1" applyFont="1" applyBorder="1" applyAlignment="1">
      <alignment horizont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164" fontId="3" fillId="0" borderId="8" xfId="0" applyNumberFormat="1" applyFont="1" applyBorder="1" applyAlignment="1">
      <alignment vertical="center" wrapText="1"/>
    </xf>
    <xf numFmtId="0" fontId="2" fillId="0" borderId="4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0" fontId="3" fillId="5" borderId="9" xfId="0" applyFont="1" applyFill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right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right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right" wrapText="1"/>
    </xf>
    <xf numFmtId="164" fontId="2" fillId="0" borderId="9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right"/>
    </xf>
    <xf numFmtId="165" fontId="16" fillId="0" borderId="0" xfId="0" applyNumberFormat="1" applyFont="1" applyAlignment="1">
      <alignment horizontal="left"/>
    </xf>
    <xf numFmtId="0" fontId="15" fillId="0" borderId="0" xfId="0" applyFont="1" applyAlignment="1">
      <alignment wrapText="1"/>
    </xf>
    <xf numFmtId="0" fontId="15" fillId="0" borderId="0" xfId="0" applyFont="1"/>
    <xf numFmtId="0" fontId="17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4" fillId="0" borderId="0" xfId="0" applyFont="1"/>
    <xf numFmtId="164" fontId="14" fillId="0" borderId="0" xfId="0" applyNumberFormat="1" applyFont="1"/>
    <xf numFmtId="0" fontId="18" fillId="0" borderId="19" xfId="0" applyFont="1" applyBorder="1" applyAlignment="1">
      <alignment horizontal="center" wrapText="1"/>
    </xf>
    <xf numFmtId="164" fontId="18" fillId="0" borderId="19" xfId="0" applyNumberFormat="1" applyFont="1" applyBorder="1" applyAlignment="1">
      <alignment horizont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justify" vertical="center" wrapText="1"/>
    </xf>
    <xf numFmtId="164" fontId="19" fillId="0" borderId="19" xfId="0" applyNumberFormat="1" applyFont="1" applyBorder="1" applyAlignment="1">
      <alignment vertical="center" wrapText="1"/>
    </xf>
    <xf numFmtId="0" fontId="14" fillId="0" borderId="20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164" fontId="14" fillId="0" borderId="0" xfId="0" applyNumberFormat="1" applyFont="1" applyAlignment="1">
      <alignment horizontal="center" vertical="center"/>
    </xf>
    <xf numFmtId="164" fontId="19" fillId="0" borderId="19" xfId="0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14" fontId="2" fillId="0" borderId="0" xfId="0" applyNumberFormat="1" applyFont="1"/>
    <xf numFmtId="164" fontId="18" fillId="0" borderId="19" xfId="0" applyNumberFormat="1" applyFont="1" applyBorder="1" applyAlignment="1">
      <alignment vertical="center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164" fontId="17" fillId="0" borderId="0" xfId="0" applyNumberFormat="1" applyFont="1"/>
    <xf numFmtId="0" fontId="20" fillId="0" borderId="0" xfId="0" applyFont="1"/>
    <xf numFmtId="0" fontId="17" fillId="0" borderId="0" xfId="0" applyFont="1" applyAlignment="1">
      <alignment horizontal="left" wrapText="1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164" fontId="16" fillId="0" borderId="0" xfId="0" applyNumberFormat="1" applyFon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1</xdr:row>
      <xdr:rowOff>0</xdr:rowOff>
    </xdr:from>
    <xdr:to>
      <xdr:col>13</xdr:col>
      <xdr:colOff>490855</xdr:colOff>
      <xdr:row>1</xdr:row>
      <xdr:rowOff>1651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41176950-1B51-4D25-8134-010AF309A31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038975" y="76200"/>
          <a:ext cx="2595880" cy="1651"/>
        </a:xfrm>
        <a:prstGeom prst="rect">
          <a:avLst/>
        </a:prstGeom>
        <a:ln/>
      </xdr:spPr>
    </xdr:pic>
    <xdr:clientData/>
  </xdr:twoCellAnchor>
  <xdr:twoCellAnchor editAs="oneCell">
    <xdr:from>
      <xdr:col>9</xdr:col>
      <xdr:colOff>76200</xdr:colOff>
      <xdr:row>1</xdr:row>
      <xdr:rowOff>0</xdr:rowOff>
    </xdr:from>
    <xdr:to>
      <xdr:col>13</xdr:col>
      <xdr:colOff>462280</xdr:colOff>
      <xdr:row>1</xdr:row>
      <xdr:rowOff>1651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A1DA19AB-01C3-4E0D-9DB4-68BD697EF913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038975" y="76200"/>
          <a:ext cx="2595880" cy="1651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38100</xdr:rowOff>
    </xdr:from>
    <xdr:to>
      <xdr:col>4</xdr:col>
      <xdr:colOff>663509</xdr:colOff>
      <xdr:row>6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3204D1-5C51-4D96-86BB-999C7E7F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38100"/>
          <a:ext cx="5225983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781050</xdr:colOff>
      <xdr:row>4</xdr:row>
      <xdr:rowOff>133350</xdr:rowOff>
    </xdr:from>
    <xdr:to>
      <xdr:col>1</xdr:col>
      <xdr:colOff>2343150</xdr:colOff>
      <xdr:row>5</xdr:row>
      <xdr:rowOff>161925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292A02D-E2B3-477B-931B-DB9AF1C1E1A9}"/>
            </a:ext>
          </a:extLst>
        </xdr:cNvPr>
        <xdr:cNvSpPr txBox="1"/>
      </xdr:nvSpPr>
      <xdr:spPr>
        <a:xfrm>
          <a:off x="1543050" y="781050"/>
          <a:ext cx="15621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000" b="1"/>
            <a:t>RFC.:</a:t>
          </a:r>
          <a:r>
            <a:rPr lang="es-MX" sz="1000" b="1" baseline="0"/>
            <a:t> MARC5712047Y6</a:t>
          </a:r>
          <a:endParaRPr lang="es-MX" sz="10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ADQUISICIONES%20Y%20SERVICIOS\PROCEDIMIENTOS%20PROVEEDORES\PROCEDIMIENTOS\PROCEDIMIENTOS%20SEGUNDO%20TRIMESTRE%202026\SUF%20DIA%20DEL%20NI&#209;O%202026.xlsm" TargetMode="External"/><Relationship Id="rId1" Type="http://schemas.openxmlformats.org/officeDocument/2006/relationships/externalLinkPath" Target="file:///C:\Users\Lenovo\Desktop\ADQUISICIONES%20Y%20SERVICIOS\PROCEDIMIENTOS%20PROVEEDORES\PROCEDIMIENTOS\PROCEDIMIENTOS%20SEGUNDO%20TRIMESTRE%202026\SUF%20DIA%20DEL%20NI&#209;O%202026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ADQUISICIONES%20Y%20SERVICIOS\PROCEDIMIENTOS%20PROVEEDORES\PROCEDIMIENTOS\PROCEDIMIENTOS%20PRIMER%20TRIMESTRE%202026\008%20FUMIGACI&#211;N%20MARZO.xlsm" TargetMode="External"/><Relationship Id="rId1" Type="http://schemas.openxmlformats.org/officeDocument/2006/relationships/externalLinkPath" Target="file:///C:\Users\Lenovo\Desktop\ADQUISICIONES%20Y%20SERVICIOS\PROCEDIMIENTOS%20PROVEEDORES\PROCEDIMIENTOS\PROCEDIMIENTOS%20PRIMER%20TRIMESTRE%202026\008%20FUMIGACI&#211;N%20MARZ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 GENERALES"/>
      <sheetName val="E.M. "/>
      <sheetName val="REQUISICION"/>
      <sheetName val="suficiencia"/>
      <sheetName val="codigo"/>
      <sheetName val="COT 3"/>
      <sheetName val="COT 2"/>
      <sheetName val="COT 1"/>
    </sheetNames>
    <sheetDataSet>
      <sheetData sheetId="0">
        <row r="18">
          <cell r="B18" t="str">
            <v>SI</v>
          </cell>
          <cell r="C18" t="str">
            <v>SI</v>
          </cell>
        </row>
        <row r="26">
          <cell r="B26">
            <v>46120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 GENERALES"/>
      <sheetName val="E.M. "/>
      <sheetName val="REQUISICION"/>
      <sheetName val="suficiencia"/>
      <sheetName val="COT 1"/>
      <sheetName val="CONTRATO"/>
      <sheetName val="REMISIÓN"/>
      <sheetName val="codigo"/>
      <sheetName val="COT 2"/>
      <sheetName val="COT 3"/>
    </sheetNames>
    <sheetDataSet>
      <sheetData sheetId="0">
        <row r="14">
          <cell r="B14" t="str">
            <v xml:space="preserve">C. MARIA DEL CARMEN MAAWAD ROBERT </v>
          </cell>
        </row>
      </sheetData>
      <sheetData sheetId="1">
        <row r="10">
          <cell r="F10" t="str">
            <v xml:space="preserve"> MARIA DEL CARMEN MAAWAD ROBERT </v>
          </cell>
        </row>
        <row r="11">
          <cell r="F11" t="str">
            <v>MARC5712047Y6</v>
          </cell>
        </row>
        <row r="13">
          <cell r="D13" t="str">
            <v>SERVICIO</v>
          </cell>
          <cell r="E13">
            <v>1</v>
          </cell>
        </row>
        <row r="14">
          <cell r="D14" t="str">
            <v>SERVICIO</v>
          </cell>
          <cell r="E14">
            <v>1</v>
          </cell>
        </row>
        <row r="15">
          <cell r="D15" t="str">
            <v>SERVICIO</v>
          </cell>
          <cell r="E15">
            <v>1</v>
          </cell>
        </row>
        <row r="16">
          <cell r="D16" t="str">
            <v>SERVICIO</v>
          </cell>
          <cell r="E16">
            <v>1</v>
          </cell>
        </row>
        <row r="18">
          <cell r="G18">
            <v>720</v>
          </cell>
        </row>
        <row r="20">
          <cell r="C20" t="str">
            <v>EN LAS DIFERENTES ÁREAS ADMINISTRATIVAS DEL SMDIF, UBICADA EN SAN FELIPE DEL PROGRESO, MÉXICO. C.P. 50640</v>
          </cell>
          <cell r="I20" t="str">
            <v>DENTRO DE LOS 30 DÍAS HÁBILES POSTERIORES A LA ENTREGA TOTAL DE LOS BIENES Y/O SERVICIOS Y PRESENTACIÓN DE FACTURA A LA TESORERÍA, DEBIDAMENTE SOPORTADA Y REQUISITADA, NO APLICARA EN PAGOS DE ANTICIPOS, NI EN RECONOCIMIENTOS DE INTERESES, A TRAVÉS DE TRANSFERENCIA O CHEQUE.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114B-D4EC-48F2-9BC0-E426ACA50B68}">
  <sheetPr>
    <pageSetUpPr fitToPage="1"/>
  </sheetPr>
  <dimension ref="B1:L85"/>
  <sheetViews>
    <sheetView tabSelected="1" topLeftCell="A52" workbookViewId="0">
      <selection activeCell="O13" sqref="O13"/>
    </sheetView>
  </sheetViews>
  <sheetFormatPr baseColWidth="10" defaultColWidth="11.5703125" defaultRowHeight="11.25" x14ac:dyDescent="0.2"/>
  <cols>
    <col min="1" max="1" width="0.85546875" style="1" customWidth="1"/>
    <col min="2" max="2" width="9.28515625" style="1" customWidth="1"/>
    <col min="3" max="3" width="37.42578125" style="1" customWidth="1"/>
    <col min="4" max="4" width="7.7109375" style="2" customWidth="1"/>
    <col min="5" max="5" width="9.7109375" style="1" customWidth="1"/>
    <col min="6" max="6" width="8.85546875" style="1" customWidth="1"/>
    <col min="7" max="7" width="10.28515625" style="3" customWidth="1"/>
    <col min="8" max="8" width="9.5703125" style="4" customWidth="1"/>
    <col min="9" max="9" width="10.7109375" style="4" customWidth="1"/>
    <col min="10" max="10" width="8" style="3" customWidth="1"/>
    <col min="11" max="11" width="11" style="3" customWidth="1"/>
    <col min="12" max="12" width="12.85546875" style="2" customWidth="1"/>
    <col min="13" max="13" width="1.28515625" style="1" customWidth="1"/>
    <col min="14" max="16384" width="11.5703125" style="1"/>
  </cols>
  <sheetData>
    <row r="1" spans="2:12" ht="6.6" customHeight="1" thickBot="1" x14ac:dyDescent="0.25"/>
    <row r="2" spans="2:12" ht="7.9" customHeight="1" x14ac:dyDescent="0.2">
      <c r="B2" s="5"/>
      <c r="C2" s="6"/>
      <c r="D2" s="7"/>
      <c r="E2" s="6"/>
      <c r="F2" s="6"/>
      <c r="G2" s="8"/>
      <c r="H2" s="9"/>
      <c r="I2" s="9"/>
      <c r="J2" s="8"/>
      <c r="K2" s="8"/>
      <c r="L2" s="10"/>
    </row>
    <row r="3" spans="2:12" ht="14.45" customHeight="1" x14ac:dyDescent="0.2">
      <c r="B3" s="11"/>
      <c r="C3" s="12"/>
      <c r="D3" s="12"/>
      <c r="E3" s="12"/>
      <c r="F3" s="12"/>
      <c r="G3" s="12"/>
      <c r="H3" s="12"/>
      <c r="I3" s="13" t="s">
        <v>0</v>
      </c>
      <c r="J3" s="13"/>
      <c r="K3" s="14" t="s">
        <v>81</v>
      </c>
      <c r="L3" s="15"/>
    </row>
    <row r="4" spans="2:12" ht="18.600000000000001" customHeight="1" x14ac:dyDescent="0.2">
      <c r="B4" s="16"/>
      <c r="D4" s="1"/>
      <c r="I4" s="17" t="s">
        <v>1</v>
      </c>
      <c r="J4" s="17"/>
      <c r="K4" s="18"/>
      <c r="L4" s="19"/>
    </row>
    <row r="5" spans="2:12" ht="8.4499999999999993" customHeight="1" x14ac:dyDescent="0.2">
      <c r="B5" s="16"/>
      <c r="D5" s="1"/>
      <c r="I5" s="20"/>
      <c r="J5" s="20"/>
      <c r="K5" s="21"/>
      <c r="L5" s="22"/>
    </row>
    <row r="6" spans="2:12" ht="41.45" customHeight="1" x14ac:dyDescent="0.2">
      <c r="B6" s="23" t="s">
        <v>2</v>
      </c>
      <c r="C6" s="24"/>
      <c r="D6" s="24"/>
      <c r="E6" s="24"/>
      <c r="F6" s="24"/>
      <c r="G6" s="24"/>
      <c r="H6" s="24"/>
      <c r="I6" s="24"/>
      <c r="J6" s="24"/>
      <c r="K6" s="24"/>
      <c r="L6" s="25"/>
    </row>
    <row r="7" spans="2:12" ht="16.899999999999999" customHeight="1" x14ac:dyDescent="0.2">
      <c r="B7" s="23" t="s">
        <v>3</v>
      </c>
      <c r="C7" s="24"/>
      <c r="D7" s="24"/>
      <c r="E7" s="24"/>
      <c r="F7" s="24"/>
      <c r="G7" s="24"/>
      <c r="H7" s="24"/>
      <c r="I7" s="24"/>
      <c r="J7" s="24"/>
      <c r="K7" s="24"/>
      <c r="L7" s="25"/>
    </row>
    <row r="8" spans="2:12" ht="7.9" customHeight="1" thickBot="1" x14ac:dyDescent="0.25">
      <c r="B8" s="16"/>
      <c r="D8" s="1"/>
      <c r="J8" s="21"/>
      <c r="K8" s="21"/>
      <c r="L8" s="22"/>
    </row>
    <row r="9" spans="2:12" ht="18.600000000000001" customHeight="1" thickBot="1" x14ac:dyDescent="0.25">
      <c r="B9" s="26" t="s">
        <v>4</v>
      </c>
      <c r="C9" s="27"/>
      <c r="D9" s="28" t="s">
        <v>65</v>
      </c>
      <c r="E9" s="29"/>
      <c r="F9" s="29"/>
      <c r="G9" s="30"/>
      <c r="H9" s="31" t="s">
        <v>5</v>
      </c>
      <c r="I9" s="32"/>
      <c r="J9" s="33"/>
      <c r="K9" s="34" t="s">
        <v>66</v>
      </c>
      <c r="L9" s="35"/>
    </row>
    <row r="10" spans="2:12" ht="18.600000000000001" customHeight="1" thickBot="1" x14ac:dyDescent="0.25">
      <c r="B10" s="26" t="s">
        <v>6</v>
      </c>
      <c r="C10" s="27"/>
      <c r="D10" s="28" t="s">
        <v>67</v>
      </c>
      <c r="E10" s="29"/>
      <c r="F10" s="29"/>
      <c r="G10" s="29"/>
      <c r="H10" s="29"/>
      <c r="I10" s="29"/>
      <c r="J10" s="29"/>
      <c r="K10" s="29"/>
      <c r="L10" s="30"/>
    </row>
    <row r="11" spans="2:12" ht="29.25" customHeight="1" thickBot="1" x14ac:dyDescent="0.25">
      <c r="B11" s="26" t="s">
        <v>7</v>
      </c>
      <c r="C11" s="27"/>
      <c r="D11" s="36" t="s">
        <v>68</v>
      </c>
      <c r="E11" s="37"/>
      <c r="F11" s="37"/>
      <c r="G11" s="37"/>
      <c r="H11" s="37"/>
      <c r="I11" s="37"/>
      <c r="J11" s="37"/>
      <c r="K11" s="37"/>
      <c r="L11" s="38"/>
    </row>
    <row r="12" spans="2:12" ht="7.9" customHeight="1" thickBot="1" x14ac:dyDescent="0.25">
      <c r="B12" s="39"/>
      <c r="C12" s="40"/>
      <c r="D12" s="41"/>
      <c r="E12" s="41"/>
      <c r="F12" s="41"/>
      <c r="G12" s="41"/>
      <c r="H12" s="41"/>
      <c r="I12" s="41"/>
      <c r="J12" s="41"/>
      <c r="K12" s="41"/>
      <c r="L12" s="42"/>
    </row>
    <row r="13" spans="2:12" ht="45.6" customHeight="1" x14ac:dyDescent="0.2">
      <c r="B13" s="43" t="s">
        <v>8</v>
      </c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2:12" ht="7.9" customHeight="1" thickBot="1" x14ac:dyDescent="0.25">
      <c r="B14" s="11"/>
      <c r="C14" s="12"/>
      <c r="D14" s="46"/>
      <c r="E14" s="46"/>
      <c r="F14" s="46"/>
      <c r="G14" s="46"/>
      <c r="H14" s="46"/>
      <c r="I14" s="46"/>
      <c r="J14" s="46"/>
      <c r="K14" s="46"/>
      <c r="L14" s="47"/>
    </row>
    <row r="15" spans="2:12" ht="24.6" customHeight="1" thickBot="1" x14ac:dyDescent="0.25">
      <c r="B15" s="48" t="s">
        <v>9</v>
      </c>
      <c r="C15" s="49" t="s">
        <v>10</v>
      </c>
      <c r="D15" s="49"/>
      <c r="E15" s="49"/>
      <c r="F15" s="49"/>
      <c r="G15" s="50" t="s">
        <v>11</v>
      </c>
      <c r="H15" s="50"/>
      <c r="I15" s="50"/>
      <c r="J15" s="50" t="s">
        <v>12</v>
      </c>
      <c r="K15" s="50"/>
      <c r="L15" s="50"/>
    </row>
    <row r="16" spans="2:12" ht="12" thickBot="1" x14ac:dyDescent="0.25">
      <c r="B16" s="48">
        <v>1</v>
      </c>
      <c r="C16" s="51" t="s">
        <v>70</v>
      </c>
      <c r="D16" s="51"/>
      <c r="E16" s="51"/>
      <c r="F16" s="51"/>
      <c r="G16" s="50">
        <v>7222179798</v>
      </c>
      <c r="H16" s="50"/>
      <c r="I16" s="50"/>
      <c r="J16" s="50" t="str">
        <f>'[1]DATOS GENERALES'!B18</f>
        <v>SI</v>
      </c>
      <c r="K16" s="50"/>
      <c r="L16" s="50"/>
    </row>
    <row r="17" spans="2:12" ht="12" thickBot="1" x14ac:dyDescent="0.25">
      <c r="B17" s="48">
        <v>2</v>
      </c>
      <c r="C17" s="51" t="s">
        <v>69</v>
      </c>
      <c r="D17" s="51"/>
      <c r="E17" s="51"/>
      <c r="F17" s="51"/>
      <c r="G17" s="50">
        <v>5630690358</v>
      </c>
      <c r="H17" s="50"/>
      <c r="I17" s="50"/>
      <c r="J17" s="50" t="str">
        <f>'[1]DATOS GENERALES'!C18</f>
        <v>SI</v>
      </c>
      <c r="K17" s="50"/>
      <c r="L17" s="50"/>
    </row>
    <row r="18" spans="2:12" ht="12" thickBot="1" x14ac:dyDescent="0.25">
      <c r="B18" s="48">
        <v>3</v>
      </c>
      <c r="C18" s="51">
        <f>'[1]DATOS GENERALES'!D13</f>
        <v>0</v>
      </c>
      <c r="D18" s="51"/>
      <c r="E18" s="51"/>
      <c r="F18" s="51"/>
      <c r="G18" s="50">
        <f>'[1]DATOS GENERALES'!D17</f>
        <v>0</v>
      </c>
      <c r="H18" s="50"/>
      <c r="I18" s="50"/>
      <c r="J18" s="50">
        <f>'[1]DATOS GENERALES'!D18</f>
        <v>0</v>
      </c>
      <c r="K18" s="50"/>
      <c r="L18" s="50"/>
    </row>
    <row r="19" spans="2:12" ht="7.9" customHeight="1" x14ac:dyDescent="0.2">
      <c r="B19" s="52"/>
      <c r="C19" s="53"/>
      <c r="D19" s="53"/>
      <c r="E19" s="53"/>
      <c r="F19" s="53"/>
      <c r="G19" s="54"/>
      <c r="H19" s="54"/>
      <c r="I19" s="54"/>
      <c r="J19" s="54"/>
      <c r="K19" s="54"/>
      <c r="L19" s="55"/>
    </row>
    <row r="20" spans="2:12" ht="27.6" customHeight="1" x14ac:dyDescent="0.2">
      <c r="B20" s="23" t="s">
        <v>13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2:12" ht="28.15" customHeight="1" thickBot="1" x14ac:dyDescent="0.25">
      <c r="B21" s="56" t="s">
        <v>14</v>
      </c>
      <c r="C21" s="57"/>
      <c r="D21" s="57"/>
      <c r="E21" s="57"/>
      <c r="F21" s="57"/>
      <c r="G21" s="57"/>
      <c r="H21" s="57"/>
      <c r="I21" s="57"/>
      <c r="J21" s="57"/>
      <c r="K21" s="57"/>
      <c r="L21" s="58"/>
    </row>
    <row r="22" spans="2:12" ht="9.6" customHeight="1" thickBot="1" x14ac:dyDescent="0.25">
      <c r="B22" s="59"/>
      <c r="C22" s="60"/>
      <c r="D22" s="60"/>
      <c r="E22" s="60"/>
      <c r="F22" s="60"/>
      <c r="G22" s="60"/>
      <c r="H22" s="60"/>
      <c r="I22" s="60"/>
      <c r="J22" s="60"/>
      <c r="K22" s="60"/>
      <c r="L22" s="61"/>
    </row>
    <row r="23" spans="2:12" ht="24.6" customHeight="1" thickBot="1" x14ac:dyDescent="0.25">
      <c r="B23" s="48" t="s">
        <v>9</v>
      </c>
      <c r="C23" s="49" t="s">
        <v>10</v>
      </c>
      <c r="D23" s="49"/>
      <c r="E23" s="49"/>
      <c r="F23" s="49"/>
      <c r="G23" s="50" t="s">
        <v>11</v>
      </c>
      <c r="H23" s="50"/>
      <c r="I23" s="50"/>
      <c r="J23" s="50" t="s">
        <v>15</v>
      </c>
      <c r="K23" s="50"/>
      <c r="L23" s="50"/>
    </row>
    <row r="24" spans="2:12" ht="10.9" customHeight="1" thickBot="1" x14ac:dyDescent="0.25">
      <c r="B24" s="48">
        <v>1</v>
      </c>
      <c r="C24" s="51" t="str">
        <f>C16</f>
        <v>MARIA DEL CARMEN MAAWAD ROBERT</v>
      </c>
      <c r="D24" s="51"/>
      <c r="E24" s="51"/>
      <c r="F24" s="51"/>
      <c r="G24" s="50">
        <f>G16</f>
        <v>7222179798</v>
      </c>
      <c r="H24" s="50"/>
      <c r="I24" s="50"/>
      <c r="J24" s="50" t="str">
        <f>J16</f>
        <v>SI</v>
      </c>
      <c r="K24" s="50"/>
      <c r="L24" s="50"/>
    </row>
    <row r="25" spans="2:12" ht="12" thickBot="1" x14ac:dyDescent="0.25">
      <c r="B25" s="48">
        <v>2</v>
      </c>
      <c r="C25" s="51" t="str">
        <f>C17</f>
        <v>BERNARDO RECENDIZ AMBROCIO</v>
      </c>
      <c r="D25" s="51"/>
      <c r="E25" s="51"/>
      <c r="F25" s="51"/>
      <c r="G25" s="50">
        <f>G17</f>
        <v>5630690358</v>
      </c>
      <c r="H25" s="50"/>
      <c r="I25" s="50"/>
      <c r="J25" s="50" t="str">
        <f t="shared" ref="J25:J26" si="0">J17</f>
        <v>SI</v>
      </c>
      <c r="K25" s="50"/>
      <c r="L25" s="50"/>
    </row>
    <row r="26" spans="2:12" ht="10.9" customHeight="1" thickBot="1" x14ac:dyDescent="0.25">
      <c r="B26" s="48">
        <v>3</v>
      </c>
      <c r="C26" s="51">
        <f>C18</f>
        <v>0</v>
      </c>
      <c r="D26" s="51"/>
      <c r="E26" s="51"/>
      <c r="F26" s="51"/>
      <c r="G26" s="50">
        <f>G18</f>
        <v>0</v>
      </c>
      <c r="H26" s="50"/>
      <c r="I26" s="50"/>
      <c r="J26" s="50">
        <f t="shared" si="0"/>
        <v>0</v>
      </c>
      <c r="K26" s="50"/>
      <c r="L26" s="50"/>
    </row>
    <row r="27" spans="2:12" ht="9.6" customHeight="1" thickBot="1" x14ac:dyDescent="0.25">
      <c r="B27" s="59"/>
      <c r="C27" s="60"/>
      <c r="D27" s="60"/>
      <c r="E27" s="60"/>
      <c r="F27" s="60"/>
      <c r="G27" s="60"/>
      <c r="H27" s="60"/>
      <c r="I27" s="60"/>
      <c r="J27" s="60"/>
      <c r="K27" s="60"/>
      <c r="L27" s="61"/>
    </row>
    <row r="28" spans="2:12" ht="33.6" customHeight="1" thickBot="1" x14ac:dyDescent="0.25">
      <c r="B28" s="62" t="s">
        <v>16</v>
      </c>
      <c r="C28" s="63"/>
      <c r="D28" s="63"/>
      <c r="E28" s="63"/>
      <c r="F28" s="63"/>
      <c r="G28" s="63"/>
      <c r="H28" s="63"/>
      <c r="I28" s="63"/>
      <c r="J28" s="63"/>
      <c r="K28" s="63"/>
      <c r="L28" s="64"/>
    </row>
    <row r="29" spans="2:12" ht="24.6" customHeight="1" thickBot="1" x14ac:dyDescent="0.25">
      <c r="B29" s="48" t="s">
        <v>9</v>
      </c>
      <c r="C29" s="49" t="s">
        <v>10</v>
      </c>
      <c r="D29" s="49"/>
      <c r="E29" s="49"/>
      <c r="F29" s="49"/>
      <c r="G29" s="50" t="s">
        <v>11</v>
      </c>
      <c r="H29" s="50"/>
      <c r="I29" s="50"/>
      <c r="J29" s="50" t="s">
        <v>15</v>
      </c>
      <c r="K29" s="50"/>
      <c r="L29" s="50"/>
    </row>
    <row r="30" spans="2:12" ht="10.9" customHeight="1" thickBot="1" x14ac:dyDescent="0.25">
      <c r="B30" s="48">
        <v>1</v>
      </c>
      <c r="C30" s="51" t="str">
        <f>C24</f>
        <v>MARIA DEL CARMEN MAAWAD ROBERT</v>
      </c>
      <c r="D30" s="51"/>
      <c r="E30" s="51"/>
      <c r="F30" s="51"/>
      <c r="G30" s="50">
        <f>G24</f>
        <v>7222179798</v>
      </c>
      <c r="H30" s="50"/>
      <c r="I30" s="50"/>
      <c r="J30" s="50" t="str">
        <f>J24</f>
        <v>SI</v>
      </c>
      <c r="K30" s="50"/>
      <c r="L30" s="50"/>
    </row>
    <row r="31" spans="2:12" ht="12" thickBot="1" x14ac:dyDescent="0.25">
      <c r="B31" s="48">
        <v>2</v>
      </c>
      <c r="C31" s="51" t="str">
        <f>C25</f>
        <v>BERNARDO RECENDIZ AMBROCIO</v>
      </c>
      <c r="D31" s="51"/>
      <c r="E31" s="51"/>
      <c r="F31" s="51"/>
      <c r="G31" s="50">
        <f>G25</f>
        <v>5630690358</v>
      </c>
      <c r="H31" s="50"/>
      <c r="I31" s="50"/>
      <c r="J31" s="50" t="str">
        <f t="shared" ref="J31:J32" si="1">J25</f>
        <v>SI</v>
      </c>
      <c r="K31" s="50"/>
      <c r="L31" s="50"/>
    </row>
    <row r="32" spans="2:12" ht="10.9" customHeight="1" thickBot="1" x14ac:dyDescent="0.25">
      <c r="B32" s="48">
        <v>3</v>
      </c>
      <c r="C32" s="51">
        <f>C26</f>
        <v>0</v>
      </c>
      <c r="D32" s="51"/>
      <c r="E32" s="51"/>
      <c r="F32" s="51"/>
      <c r="G32" s="50">
        <f>G26</f>
        <v>0</v>
      </c>
      <c r="H32" s="50"/>
      <c r="I32" s="50"/>
      <c r="J32" s="50">
        <f t="shared" si="1"/>
        <v>0</v>
      </c>
      <c r="K32" s="50"/>
      <c r="L32" s="50"/>
    </row>
    <row r="33" spans="2:12" ht="16.899999999999999" customHeight="1" thickBot="1" x14ac:dyDescent="0.25">
      <c r="B33" s="59"/>
      <c r="C33" s="60"/>
      <c r="D33" s="60"/>
      <c r="E33" s="60"/>
      <c r="F33" s="60"/>
      <c r="G33" s="60"/>
      <c r="H33" s="60"/>
      <c r="I33" s="60"/>
      <c r="J33" s="60"/>
      <c r="K33" s="60"/>
      <c r="L33" s="61"/>
    </row>
    <row r="34" spans="2:12" ht="41.45" customHeight="1" thickBot="1" x14ac:dyDescent="0.25">
      <c r="B34" s="62" t="s">
        <v>17</v>
      </c>
      <c r="C34" s="63"/>
      <c r="D34" s="63"/>
      <c r="E34" s="63"/>
      <c r="F34" s="63"/>
      <c r="G34" s="63"/>
      <c r="H34" s="63"/>
      <c r="I34" s="63"/>
      <c r="J34" s="63"/>
      <c r="K34" s="63"/>
      <c r="L34" s="64"/>
    </row>
    <row r="35" spans="2:12" ht="24.6" customHeight="1" thickBot="1" x14ac:dyDescent="0.25">
      <c r="B35" s="48" t="s">
        <v>9</v>
      </c>
      <c r="C35" s="49" t="s">
        <v>10</v>
      </c>
      <c r="D35" s="49"/>
      <c r="E35" s="49"/>
      <c r="F35" s="49"/>
      <c r="G35" s="50" t="s">
        <v>11</v>
      </c>
      <c r="H35" s="50"/>
      <c r="I35" s="50"/>
      <c r="J35" s="50" t="s">
        <v>15</v>
      </c>
      <c r="K35" s="50"/>
      <c r="L35" s="50"/>
    </row>
    <row r="36" spans="2:12" ht="10.9" customHeight="1" thickBot="1" x14ac:dyDescent="0.25">
      <c r="B36" s="48">
        <v>1</v>
      </c>
      <c r="C36" s="51" t="str">
        <f>C30</f>
        <v>MARIA DEL CARMEN MAAWAD ROBERT</v>
      </c>
      <c r="D36" s="51"/>
      <c r="E36" s="51"/>
      <c r="F36" s="51"/>
      <c r="G36" s="50">
        <f>G30</f>
        <v>7222179798</v>
      </c>
      <c r="H36" s="50"/>
      <c r="I36" s="50"/>
      <c r="J36" s="50" t="str">
        <f>J30</f>
        <v>SI</v>
      </c>
      <c r="K36" s="50"/>
      <c r="L36" s="50"/>
    </row>
    <row r="37" spans="2:12" ht="12" thickBot="1" x14ac:dyDescent="0.25">
      <c r="B37" s="48">
        <v>2</v>
      </c>
      <c r="C37" s="51" t="str">
        <f>C31</f>
        <v>BERNARDO RECENDIZ AMBROCIO</v>
      </c>
      <c r="D37" s="51"/>
      <c r="E37" s="51"/>
      <c r="F37" s="51"/>
      <c r="G37" s="50">
        <f>G31</f>
        <v>5630690358</v>
      </c>
      <c r="H37" s="50"/>
      <c r="I37" s="50"/>
      <c r="J37" s="50" t="str">
        <f t="shared" ref="J37:J38" si="2">J31</f>
        <v>SI</v>
      </c>
      <c r="K37" s="50"/>
      <c r="L37" s="50"/>
    </row>
    <row r="38" spans="2:12" ht="10.9" customHeight="1" thickBot="1" x14ac:dyDescent="0.25">
      <c r="B38" s="48">
        <v>3</v>
      </c>
      <c r="C38" s="51">
        <f>C32</f>
        <v>0</v>
      </c>
      <c r="D38" s="51"/>
      <c r="E38" s="51"/>
      <c r="F38" s="51"/>
      <c r="G38" s="50">
        <f>G32</f>
        <v>0</v>
      </c>
      <c r="H38" s="50"/>
      <c r="I38" s="50"/>
      <c r="J38" s="50">
        <f t="shared" si="2"/>
        <v>0</v>
      </c>
      <c r="K38" s="50"/>
      <c r="L38" s="50"/>
    </row>
    <row r="39" spans="2:12" ht="21" customHeight="1" thickBot="1" x14ac:dyDescent="0.25"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1"/>
    </row>
    <row r="40" spans="2:12" ht="36.6" customHeight="1" thickBot="1" x14ac:dyDescent="0.25">
      <c r="B40" s="36" t="s">
        <v>18</v>
      </c>
      <c r="C40" s="37"/>
      <c r="D40" s="37"/>
      <c r="E40" s="37"/>
      <c r="F40" s="37"/>
      <c r="G40" s="37"/>
      <c r="H40" s="37"/>
      <c r="I40" s="37"/>
      <c r="J40" s="37"/>
      <c r="K40" s="37"/>
      <c r="L40" s="38"/>
    </row>
    <row r="41" spans="2:12" ht="9" customHeight="1" thickBot="1" x14ac:dyDescent="0.25">
      <c r="B41" s="65"/>
      <c r="C41" s="66"/>
      <c r="D41" s="66"/>
      <c r="E41" s="66"/>
      <c r="F41" s="66"/>
      <c r="G41" s="66"/>
      <c r="H41" s="66"/>
      <c r="I41" s="66"/>
      <c r="J41" s="66"/>
      <c r="K41" s="66"/>
      <c r="L41" s="67"/>
    </row>
    <row r="42" spans="2:12" x14ac:dyDescent="0.2">
      <c r="B42" s="68"/>
      <c r="C42" s="69"/>
      <c r="D42" s="70" t="s">
        <v>19</v>
      </c>
      <c r="E42" s="71"/>
      <c r="F42" s="72" t="s">
        <v>20</v>
      </c>
      <c r="G42" s="73"/>
      <c r="H42" s="74" t="s">
        <v>21</v>
      </c>
      <c r="I42" s="75"/>
      <c r="J42" s="76" t="s">
        <v>22</v>
      </c>
      <c r="K42" s="73"/>
      <c r="L42" s="77"/>
    </row>
    <row r="43" spans="2:12" ht="37.9" customHeight="1" x14ac:dyDescent="0.2">
      <c r="B43" s="68"/>
      <c r="C43" s="69"/>
      <c r="D43" s="78">
        <f>'[1]DATOS GENERALES'!B26</f>
        <v>46120</v>
      </c>
      <c r="E43" s="79"/>
      <c r="F43" s="80" t="str">
        <f>C24</f>
        <v>MARIA DEL CARMEN MAAWAD ROBERT</v>
      </c>
      <c r="G43" s="81"/>
      <c r="H43" s="82" t="str">
        <f>C25</f>
        <v>BERNARDO RECENDIZ AMBROCIO</v>
      </c>
      <c r="I43" s="83"/>
      <c r="J43" s="84">
        <f>'[1]DATOS GENERALES'!D13</f>
        <v>0</v>
      </c>
      <c r="K43" s="85"/>
      <c r="L43" s="86"/>
    </row>
    <row r="44" spans="2:12" ht="12" thickBot="1" x14ac:dyDescent="0.25">
      <c r="B44" s="87"/>
      <c r="C44" s="88"/>
      <c r="D44" s="89"/>
      <c r="E44" s="90"/>
      <c r="F44" s="91" t="s">
        <v>75</v>
      </c>
      <c r="G44" s="92"/>
      <c r="H44" s="93" t="s">
        <v>76</v>
      </c>
      <c r="I44" s="94"/>
      <c r="J44" s="95">
        <f>'[1]DATOS GENERALES'!D14</f>
        <v>0</v>
      </c>
      <c r="K44" s="96"/>
      <c r="L44" s="86"/>
    </row>
    <row r="45" spans="2:12" ht="38.25" customHeight="1" thickBot="1" x14ac:dyDescent="0.25">
      <c r="B45" s="97" t="s">
        <v>9</v>
      </c>
      <c r="C45" s="97" t="s">
        <v>23</v>
      </c>
      <c r="D45" s="97" t="s">
        <v>24</v>
      </c>
      <c r="E45" s="97" t="s">
        <v>25</v>
      </c>
      <c r="F45" s="97" t="s">
        <v>26</v>
      </c>
      <c r="G45" s="97" t="s">
        <v>27</v>
      </c>
      <c r="H45" s="98" t="s">
        <v>26</v>
      </c>
      <c r="I45" s="98" t="s">
        <v>27</v>
      </c>
      <c r="J45" s="97" t="s">
        <v>26</v>
      </c>
      <c r="K45" s="97" t="s">
        <v>27</v>
      </c>
      <c r="L45" s="97" t="s">
        <v>28</v>
      </c>
    </row>
    <row r="46" spans="2:12" ht="21.75" customHeight="1" thickBot="1" x14ac:dyDescent="0.25">
      <c r="B46" s="99">
        <v>1</v>
      </c>
      <c r="C46" s="100" t="s">
        <v>71</v>
      </c>
      <c r="D46" s="101" t="s">
        <v>29</v>
      </c>
      <c r="E46" s="101">
        <v>1</v>
      </c>
      <c r="F46" s="102">
        <v>1000</v>
      </c>
      <c r="G46" s="103">
        <f t="shared" ref="G46:G49" si="3">F46*E46</f>
        <v>1000</v>
      </c>
      <c r="H46" s="102">
        <v>2500</v>
      </c>
      <c r="I46" s="103">
        <f>H46*E46</f>
        <v>2500</v>
      </c>
      <c r="J46" s="102"/>
      <c r="K46" s="104"/>
      <c r="L46" s="105">
        <f>(F46+H46+J46)/2</f>
        <v>1750</v>
      </c>
    </row>
    <row r="47" spans="2:12" ht="24" customHeight="1" thickBot="1" x14ac:dyDescent="0.25">
      <c r="B47" s="106">
        <v>2</v>
      </c>
      <c r="C47" s="100" t="s">
        <v>72</v>
      </c>
      <c r="D47" s="101" t="s">
        <v>29</v>
      </c>
      <c r="E47" s="101">
        <v>1</v>
      </c>
      <c r="F47" s="102">
        <v>1000</v>
      </c>
      <c r="G47" s="103">
        <f t="shared" si="3"/>
        <v>1000</v>
      </c>
      <c r="H47" s="102">
        <v>2600</v>
      </c>
      <c r="I47" s="103">
        <f t="shared" ref="I47:I49" si="4">H47*E47</f>
        <v>2600</v>
      </c>
      <c r="J47" s="102"/>
      <c r="K47" s="104"/>
      <c r="L47" s="105">
        <f t="shared" ref="L47:L49" si="5">(F47+H47+J47)/2</f>
        <v>1800</v>
      </c>
    </row>
    <row r="48" spans="2:12" ht="24" customHeight="1" thickBot="1" x14ac:dyDescent="0.25">
      <c r="B48" s="99">
        <v>3</v>
      </c>
      <c r="C48" s="100" t="s">
        <v>73</v>
      </c>
      <c r="D48" s="101" t="s">
        <v>29</v>
      </c>
      <c r="E48" s="101">
        <v>1</v>
      </c>
      <c r="F48" s="102">
        <v>1500</v>
      </c>
      <c r="G48" s="103">
        <f t="shared" si="3"/>
        <v>1500</v>
      </c>
      <c r="H48" s="102">
        <v>3900</v>
      </c>
      <c r="I48" s="103">
        <f t="shared" si="4"/>
        <v>3900</v>
      </c>
      <c r="J48" s="102"/>
      <c r="K48" s="104"/>
      <c r="L48" s="105">
        <f t="shared" si="5"/>
        <v>2700</v>
      </c>
    </row>
    <row r="49" spans="2:12" ht="24" customHeight="1" thickBot="1" x14ac:dyDescent="0.25">
      <c r="B49" s="106">
        <v>4</v>
      </c>
      <c r="C49" s="100" t="s">
        <v>74</v>
      </c>
      <c r="D49" s="101" t="s">
        <v>29</v>
      </c>
      <c r="E49" s="101">
        <v>1</v>
      </c>
      <c r="F49" s="102">
        <v>1000</v>
      </c>
      <c r="G49" s="103">
        <f t="shared" si="3"/>
        <v>1000</v>
      </c>
      <c r="H49" s="102">
        <v>1800</v>
      </c>
      <c r="I49" s="103">
        <f t="shared" si="4"/>
        <v>1800</v>
      </c>
      <c r="J49" s="102"/>
      <c r="K49" s="104"/>
      <c r="L49" s="105">
        <f t="shared" si="5"/>
        <v>1400</v>
      </c>
    </row>
    <row r="50" spans="2:12" ht="12" thickBot="1" x14ac:dyDescent="0.25">
      <c r="B50" s="107"/>
      <c r="C50" s="108"/>
      <c r="D50" s="109"/>
      <c r="E50" s="110"/>
      <c r="F50" s="111" t="s">
        <v>30</v>
      </c>
      <c r="G50" s="103">
        <f>SUM(G46:G49)</f>
        <v>4500</v>
      </c>
      <c r="H50" s="112" t="s">
        <v>30</v>
      </c>
      <c r="I50" s="103">
        <f>SUM(I46:I49)</f>
        <v>10800</v>
      </c>
      <c r="J50" s="111" t="s">
        <v>30</v>
      </c>
      <c r="K50" s="103">
        <f>SUM(K46:K46)</f>
        <v>0</v>
      </c>
      <c r="L50" s="113">
        <f>(G50+I50)/2</f>
        <v>7650</v>
      </c>
    </row>
    <row r="51" spans="2:12" ht="15" customHeight="1" thickBot="1" x14ac:dyDescent="0.25">
      <c r="B51" s="114"/>
      <c r="C51" s="115"/>
      <c r="D51" s="116"/>
      <c r="E51" s="117"/>
      <c r="F51" s="118" t="s">
        <v>31</v>
      </c>
      <c r="G51" s="119">
        <f>G50*0.16</f>
        <v>720</v>
      </c>
      <c r="H51" s="120"/>
      <c r="I51" s="119">
        <f>I50*0.16</f>
        <v>1728</v>
      </c>
      <c r="J51" s="118"/>
      <c r="K51" s="119">
        <f>K50*0.16</f>
        <v>0</v>
      </c>
      <c r="L51" s="121"/>
    </row>
    <row r="52" spans="2:12" ht="15" customHeight="1" thickBot="1" x14ac:dyDescent="0.25">
      <c r="B52" s="122"/>
      <c r="C52" s="123"/>
      <c r="D52" s="124"/>
      <c r="E52" s="125"/>
      <c r="F52" s="126" t="s">
        <v>32</v>
      </c>
      <c r="G52" s="127">
        <f>G50+G51</f>
        <v>5220</v>
      </c>
      <c r="H52" s="128" t="s">
        <v>32</v>
      </c>
      <c r="I52" s="127">
        <f>SUM(I50:I51)</f>
        <v>12528</v>
      </c>
      <c r="J52" s="126" t="s">
        <v>32</v>
      </c>
      <c r="K52" s="127">
        <f>SUM(K50:K51)</f>
        <v>0</v>
      </c>
      <c r="L52" s="129" t="s">
        <v>33</v>
      </c>
    </row>
    <row r="53" spans="2:12" ht="6" customHeight="1" thickBot="1" x14ac:dyDescent="0.25">
      <c r="B53" s="130"/>
      <c r="C53" s="131"/>
      <c r="D53" s="131"/>
      <c r="E53" s="132"/>
      <c r="F53" s="133"/>
      <c r="G53" s="134"/>
      <c r="H53" s="135"/>
      <c r="I53" s="134"/>
      <c r="J53" s="135"/>
      <c r="K53" s="136"/>
      <c r="L53" s="137"/>
    </row>
    <row r="54" spans="2:12" ht="15" customHeight="1" thickBot="1" x14ac:dyDescent="0.25">
      <c r="B54" s="138" t="s">
        <v>9</v>
      </c>
      <c r="C54" s="139" t="s">
        <v>34</v>
      </c>
      <c r="D54" s="140"/>
      <c r="E54" s="140"/>
      <c r="F54" s="141"/>
      <c r="G54" s="142" t="s">
        <v>35</v>
      </c>
      <c r="H54" s="143"/>
      <c r="I54" s="143"/>
      <c r="J54" s="143"/>
      <c r="K54" s="143"/>
      <c r="L54" s="144"/>
    </row>
    <row r="55" spans="2:12" ht="32.450000000000003" customHeight="1" thickBot="1" x14ac:dyDescent="0.25">
      <c r="B55" s="145"/>
      <c r="C55" s="146"/>
      <c r="D55" s="147"/>
      <c r="E55" s="147"/>
      <c r="F55" s="148"/>
      <c r="G55" s="26" t="str">
        <f>F43</f>
        <v>MARIA DEL CARMEN MAAWAD ROBERT</v>
      </c>
      <c r="H55" s="27"/>
      <c r="I55" s="31" t="str">
        <f>H43</f>
        <v>BERNARDO RECENDIZ AMBROCIO</v>
      </c>
      <c r="J55" s="27"/>
      <c r="K55" s="149">
        <f>J43</f>
        <v>0</v>
      </c>
      <c r="L55" s="30"/>
    </row>
    <row r="56" spans="2:12" ht="50.45" customHeight="1" thickBot="1" x14ac:dyDescent="0.25">
      <c r="B56" s="48" t="s">
        <v>36</v>
      </c>
      <c r="C56" s="150" t="s">
        <v>77</v>
      </c>
      <c r="D56" s="150"/>
      <c r="E56" s="150"/>
      <c r="F56" s="150"/>
      <c r="G56" s="28" t="str">
        <f>J36</f>
        <v>SI</v>
      </c>
      <c r="H56" s="30"/>
      <c r="I56" s="28" t="str">
        <f>J37</f>
        <v>SI</v>
      </c>
      <c r="J56" s="30"/>
      <c r="K56" s="28">
        <f>J38</f>
        <v>0</v>
      </c>
      <c r="L56" s="30"/>
    </row>
    <row r="57" spans="2:12" ht="32.450000000000003" customHeight="1" thickBot="1" x14ac:dyDescent="0.25">
      <c r="B57" s="48" t="s">
        <v>37</v>
      </c>
      <c r="C57" s="150" t="s">
        <v>38</v>
      </c>
      <c r="D57" s="150"/>
      <c r="E57" s="150"/>
      <c r="F57" s="150"/>
      <c r="G57" s="28" t="s">
        <v>78</v>
      </c>
      <c r="H57" s="30"/>
      <c r="I57" s="28" t="str">
        <f>I56</f>
        <v>SI</v>
      </c>
      <c r="J57" s="30"/>
      <c r="K57" s="28">
        <f>K56</f>
        <v>0</v>
      </c>
      <c r="L57" s="30"/>
    </row>
    <row r="58" spans="2:12" ht="45" customHeight="1" thickBot="1" x14ac:dyDescent="0.25">
      <c r="B58" s="48" t="s">
        <v>39</v>
      </c>
      <c r="C58" s="150" t="s">
        <v>40</v>
      </c>
      <c r="D58" s="150"/>
      <c r="E58" s="150"/>
      <c r="F58" s="150"/>
      <c r="G58" s="28" t="str">
        <f>G57</f>
        <v>No</v>
      </c>
      <c r="H58" s="30"/>
      <c r="I58" s="28" t="str">
        <f>I57</f>
        <v>SI</v>
      </c>
      <c r="J58" s="30"/>
      <c r="K58" s="28">
        <f>K57</f>
        <v>0</v>
      </c>
      <c r="L58" s="30"/>
    </row>
    <row r="59" spans="2:12" ht="112.5" customHeight="1" thickBot="1" x14ac:dyDescent="0.25">
      <c r="B59" s="151" t="s">
        <v>41</v>
      </c>
      <c r="C59" s="152"/>
      <c r="D59" s="152"/>
      <c r="E59" s="152"/>
      <c r="F59" s="152"/>
      <c r="G59" s="152"/>
      <c r="H59" s="152"/>
      <c r="I59" s="152"/>
      <c r="J59" s="152"/>
      <c r="K59" s="152"/>
      <c r="L59" s="153"/>
    </row>
    <row r="60" spans="2:12" ht="9.6" customHeight="1" thickBot="1" x14ac:dyDescent="0.25">
      <c r="B60" s="154"/>
      <c r="C60" s="8"/>
      <c r="D60" s="8"/>
      <c r="E60" s="8"/>
      <c r="F60" s="8"/>
      <c r="G60" s="8"/>
      <c r="H60" s="8"/>
      <c r="I60" s="8"/>
      <c r="J60" s="8"/>
      <c r="K60" s="8"/>
      <c r="L60" s="155"/>
    </row>
    <row r="61" spans="2:12" ht="16.149999999999999" customHeight="1" thickBot="1" x14ac:dyDescent="0.25">
      <c r="B61" s="36" t="s">
        <v>42</v>
      </c>
      <c r="C61" s="37"/>
      <c r="D61" s="37"/>
      <c r="E61" s="37"/>
      <c r="F61" s="37"/>
      <c r="G61" s="37"/>
      <c r="H61" s="156">
        <f>I52</f>
        <v>12528</v>
      </c>
      <c r="I61" s="29" t="s">
        <v>82</v>
      </c>
      <c r="J61" s="29"/>
      <c r="K61" s="29"/>
      <c r="L61" s="30"/>
    </row>
    <row r="62" spans="2:12" ht="12.6" customHeight="1" x14ac:dyDescent="0.2">
      <c r="B62" s="157"/>
      <c r="C62" s="158"/>
      <c r="D62" s="158"/>
      <c r="E62" s="158"/>
      <c r="F62" s="158"/>
      <c r="G62" s="158"/>
      <c r="H62" s="158"/>
      <c r="I62" s="158"/>
      <c r="J62" s="158"/>
      <c r="K62" s="158"/>
      <c r="L62" s="159"/>
    </row>
    <row r="63" spans="2:12" ht="25.9" customHeight="1" x14ac:dyDescent="0.2">
      <c r="B63" s="160" t="s">
        <v>43</v>
      </c>
      <c r="C63" s="13"/>
      <c r="D63" s="13"/>
      <c r="E63" s="13"/>
      <c r="F63" s="13"/>
      <c r="G63" s="13"/>
      <c r="H63" s="13"/>
      <c r="I63" s="13"/>
      <c r="J63" s="13"/>
      <c r="K63" s="13"/>
      <c r="L63" s="161"/>
    </row>
    <row r="64" spans="2:12" ht="20.45" customHeight="1" x14ac:dyDescent="0.2">
      <c r="B64" s="162" t="s">
        <v>44</v>
      </c>
      <c r="C64" s="163"/>
      <c r="D64" s="163"/>
      <c r="E64" s="163"/>
      <c r="F64" s="163"/>
      <c r="G64" s="163"/>
      <c r="H64" s="163"/>
      <c r="I64" s="163"/>
      <c r="J64" s="163"/>
      <c r="K64" s="163"/>
      <c r="L64" s="164"/>
    </row>
    <row r="65" spans="2:12" ht="7.9" customHeight="1" thickBot="1" x14ac:dyDescent="0.25">
      <c r="B65" s="157"/>
      <c r="C65" s="158"/>
      <c r="D65" s="158"/>
      <c r="E65" s="158"/>
      <c r="F65" s="158"/>
      <c r="G65" s="158"/>
      <c r="H65" s="158"/>
      <c r="I65" s="158"/>
      <c r="J65" s="158"/>
      <c r="K65" s="158"/>
      <c r="L65" s="159"/>
    </row>
    <row r="66" spans="2:12" ht="19.899999999999999" customHeight="1" thickBot="1" x14ac:dyDescent="0.25">
      <c r="B66" s="165" t="s">
        <v>45</v>
      </c>
      <c r="C66" s="197" t="str">
        <f>H43</f>
        <v>BERNARDO RECENDIZ AMBROCIO</v>
      </c>
      <c r="D66" s="50"/>
      <c r="E66" s="50"/>
      <c r="F66" s="165" t="s">
        <v>46</v>
      </c>
      <c r="G66" s="170" t="str">
        <f>H44</f>
        <v>REAB940910Q31</v>
      </c>
      <c r="H66" s="165" t="s">
        <v>47</v>
      </c>
      <c r="I66" s="50" t="s">
        <v>79</v>
      </c>
      <c r="J66" s="50"/>
      <c r="K66" s="50"/>
      <c r="L66" s="50"/>
    </row>
    <row r="67" spans="2:12" ht="6.6" customHeight="1" x14ac:dyDescent="0.2">
      <c r="B67" s="166"/>
      <c r="C67" s="167"/>
      <c r="D67" s="167"/>
      <c r="E67" s="167"/>
      <c r="F67" s="158"/>
      <c r="G67" s="158"/>
      <c r="H67" s="158"/>
      <c r="I67" s="167"/>
      <c r="J67" s="167"/>
      <c r="K67" s="167"/>
      <c r="L67" s="168"/>
    </row>
    <row r="68" spans="2:12" ht="30" customHeight="1" thickBot="1" x14ac:dyDescent="0.25">
      <c r="B68" s="162" t="s">
        <v>48</v>
      </c>
      <c r="C68" s="163"/>
      <c r="D68" s="163"/>
      <c r="E68" s="163"/>
      <c r="F68" s="163"/>
      <c r="G68" s="163"/>
      <c r="H68" s="163"/>
      <c r="I68" s="163"/>
      <c r="J68" s="163"/>
      <c r="K68" s="163"/>
      <c r="L68" s="164"/>
    </row>
    <row r="69" spans="2:12" s="2" customFormat="1" ht="14.45" customHeight="1" thickBot="1" x14ac:dyDescent="0.25">
      <c r="B69" s="169" t="s">
        <v>49</v>
      </c>
      <c r="C69" s="169"/>
      <c r="D69" s="169"/>
      <c r="E69" s="170">
        <f>H61</f>
        <v>12528</v>
      </c>
      <c r="F69" s="28" t="str">
        <f>I61</f>
        <v>DOCE MIL QUINIENTOS VEINTIOCHO PESOS 00/100 M.N.</v>
      </c>
      <c r="G69" s="29"/>
      <c r="H69" s="29"/>
      <c r="I69" s="29"/>
      <c r="J69" s="29"/>
      <c r="K69" s="29"/>
      <c r="L69" s="30"/>
    </row>
    <row r="70" spans="2:12" ht="7.9" customHeight="1" thickBot="1" x14ac:dyDescent="0.25">
      <c r="B70" s="166"/>
      <c r="C70" s="167"/>
      <c r="D70" s="167"/>
      <c r="E70" s="167"/>
      <c r="F70" s="158"/>
      <c r="G70" s="158"/>
      <c r="H70" s="158"/>
      <c r="I70" s="167"/>
      <c r="J70" s="167"/>
      <c r="K70" s="167"/>
      <c r="L70" s="168"/>
    </row>
    <row r="71" spans="2:12" ht="42.75" customHeight="1" x14ac:dyDescent="0.2">
      <c r="B71" s="171" t="s">
        <v>50</v>
      </c>
      <c r="C71" s="172"/>
      <c r="D71" s="172"/>
      <c r="E71" s="172"/>
      <c r="F71" s="172"/>
      <c r="G71" s="172"/>
      <c r="H71" s="172"/>
      <c r="I71" s="172"/>
      <c r="J71" s="172"/>
      <c r="K71" s="172"/>
      <c r="L71" s="173"/>
    </row>
    <row r="72" spans="2:12" ht="12.6" customHeight="1" thickBot="1" x14ac:dyDescent="0.25">
      <c r="B72" s="174" t="s">
        <v>80</v>
      </c>
      <c r="C72" s="175"/>
      <c r="D72" s="175"/>
      <c r="E72" s="175"/>
      <c r="F72" s="175"/>
      <c r="G72" s="175"/>
      <c r="H72" s="175"/>
      <c r="I72" s="175"/>
      <c r="J72" s="175"/>
      <c r="K72" s="175"/>
      <c r="L72" s="176"/>
    </row>
    <row r="73" spans="2:12" ht="7.9" customHeight="1" thickBot="1" x14ac:dyDescent="0.25">
      <c r="B73" s="157"/>
      <c r="C73" s="158"/>
      <c r="D73" s="158"/>
      <c r="E73" s="158"/>
      <c r="F73" s="158"/>
      <c r="G73" s="158"/>
      <c r="H73" s="158"/>
      <c r="I73" s="158"/>
      <c r="J73" s="158"/>
      <c r="K73" s="158"/>
      <c r="L73" s="159"/>
    </row>
    <row r="74" spans="2:12" ht="34.15" customHeight="1" thickBot="1" x14ac:dyDescent="0.25">
      <c r="B74" s="171" t="s">
        <v>51</v>
      </c>
      <c r="C74" s="172"/>
      <c r="D74" s="172"/>
      <c r="E74" s="172"/>
      <c r="F74" s="172"/>
      <c r="G74" s="172"/>
      <c r="H74" s="172"/>
      <c r="I74" s="172"/>
      <c r="J74" s="172"/>
      <c r="K74" s="172"/>
      <c r="L74" s="173"/>
    </row>
    <row r="75" spans="2:12" ht="33" customHeight="1" thickBot="1" x14ac:dyDescent="0.25">
      <c r="B75" s="165" t="s">
        <v>45</v>
      </c>
      <c r="C75" s="50" t="str">
        <f>C66</f>
        <v>BERNARDO RECENDIZ AMBROCIO</v>
      </c>
      <c r="D75" s="50"/>
      <c r="E75" s="50"/>
      <c r="F75" s="165" t="s">
        <v>46</v>
      </c>
      <c r="G75" s="177" t="str">
        <f>G66</f>
        <v>REAB940910Q31</v>
      </c>
      <c r="H75" s="165" t="s">
        <v>47</v>
      </c>
      <c r="I75" s="50" t="str">
        <f>I66</f>
        <v>PASEO TLAIXCO 22 EDUCACION, CP: 54880, MELCHOR OCAMPO, ESTADO DE MEXICO, MÉXICO.</v>
      </c>
      <c r="J75" s="50"/>
      <c r="K75" s="50"/>
      <c r="L75" s="50"/>
    </row>
    <row r="76" spans="2:12" s="2" customFormat="1" ht="27" customHeight="1" thickBot="1" x14ac:dyDescent="0.25">
      <c r="B76" s="169" t="s">
        <v>52</v>
      </c>
      <c r="C76" s="169"/>
      <c r="D76" s="169"/>
      <c r="E76" s="170">
        <f>E69</f>
        <v>12528</v>
      </c>
      <c r="F76" s="50" t="str">
        <f>F69</f>
        <v>DOCE MIL QUINIENTOS VEINTIOCHO PESOS 00/100 M.N.</v>
      </c>
      <c r="G76" s="50"/>
      <c r="H76" s="50"/>
      <c r="I76" s="50"/>
      <c r="J76" s="50"/>
      <c r="K76" s="50"/>
      <c r="L76" s="50"/>
    </row>
    <row r="77" spans="2:12" s="2" customFormat="1" ht="14.45" customHeight="1" thickBot="1" x14ac:dyDescent="0.25">
      <c r="B77" s="49" t="s">
        <v>53</v>
      </c>
      <c r="C77" s="49"/>
      <c r="D77" s="28" t="str">
        <f>D9</f>
        <v>D00 307 COORDINACIÓN DE ADMINISTRACIÓN</v>
      </c>
      <c r="E77" s="29"/>
      <c r="F77" s="29"/>
      <c r="G77" s="29"/>
      <c r="H77" s="30"/>
      <c r="I77" s="26" t="s">
        <v>54</v>
      </c>
      <c r="J77" s="178"/>
      <c r="K77" s="27"/>
      <c r="L77" s="179" t="s">
        <v>66</v>
      </c>
    </row>
    <row r="78" spans="2:12" ht="26.45" customHeight="1" thickBot="1" x14ac:dyDescent="0.25">
      <c r="B78" s="50" t="s">
        <v>6</v>
      </c>
      <c r="C78" s="50"/>
      <c r="D78" s="51" t="str">
        <f>D10</f>
        <v>3591 SERVICIOS DE FUMIGACIÓN</v>
      </c>
      <c r="E78" s="51"/>
      <c r="F78" s="51"/>
      <c r="G78" s="51"/>
      <c r="H78" s="51"/>
      <c r="I78" s="51"/>
      <c r="J78" s="51"/>
      <c r="K78" s="51"/>
      <c r="L78" s="51"/>
    </row>
    <row r="79" spans="2:12" ht="9" customHeight="1" thickBot="1" x14ac:dyDescent="0.25">
      <c r="B79" s="16"/>
      <c r="D79" s="1"/>
      <c r="J79" s="4"/>
      <c r="K79" s="180"/>
      <c r="L79" s="181"/>
    </row>
    <row r="80" spans="2:12" ht="30" customHeight="1" thickBot="1" x14ac:dyDescent="0.25">
      <c r="B80" s="182" t="s">
        <v>55</v>
      </c>
      <c r="C80" s="183"/>
      <c r="D80" s="183"/>
      <c r="E80" s="183"/>
      <c r="F80" s="183"/>
      <c r="G80" s="183"/>
      <c r="H80" s="183"/>
      <c r="I80" s="183"/>
      <c r="J80" s="183"/>
      <c r="K80" s="183"/>
      <c r="L80" s="184"/>
    </row>
    <row r="81" spans="2:12" ht="10.15" customHeight="1" thickBot="1" x14ac:dyDescent="0.25">
      <c r="B81" s="16"/>
      <c r="D81" s="1"/>
      <c r="J81" s="4"/>
      <c r="K81" s="180"/>
      <c r="L81" s="181"/>
    </row>
    <row r="82" spans="2:12" ht="12" customHeight="1" x14ac:dyDescent="0.2">
      <c r="B82" s="185" t="s">
        <v>56</v>
      </c>
      <c r="C82" s="186"/>
      <c r="D82" s="187"/>
      <c r="E82" s="185" t="s">
        <v>57</v>
      </c>
      <c r="F82" s="186"/>
      <c r="G82" s="186"/>
      <c r="H82" s="186"/>
      <c r="I82" s="187"/>
      <c r="J82" s="185" t="s">
        <v>58</v>
      </c>
      <c r="K82" s="186"/>
      <c r="L82" s="187"/>
    </row>
    <row r="83" spans="2:12" ht="21" customHeight="1" x14ac:dyDescent="0.2">
      <c r="B83" s="68" t="s">
        <v>59</v>
      </c>
      <c r="C83" s="188"/>
      <c r="D83" s="69"/>
      <c r="E83" s="189" t="s">
        <v>60</v>
      </c>
      <c r="F83" s="190"/>
      <c r="G83" s="190"/>
      <c r="H83" s="190"/>
      <c r="I83" s="191"/>
      <c r="J83" s="189" t="s">
        <v>61</v>
      </c>
      <c r="K83" s="190"/>
      <c r="L83" s="191"/>
    </row>
    <row r="84" spans="2:12" ht="27" customHeight="1" thickBot="1" x14ac:dyDescent="0.25">
      <c r="B84" s="87"/>
      <c r="C84" s="192"/>
      <c r="D84" s="88"/>
      <c r="E84" s="193" t="s">
        <v>62</v>
      </c>
      <c r="F84" s="194"/>
      <c r="G84" s="194"/>
      <c r="H84" s="194"/>
      <c r="I84" s="195"/>
      <c r="J84" s="193" t="s">
        <v>63</v>
      </c>
      <c r="K84" s="194"/>
      <c r="L84" s="195"/>
    </row>
    <row r="85" spans="2:12" x14ac:dyDescent="0.2">
      <c r="B85" s="196" t="s">
        <v>64</v>
      </c>
      <c r="C85" s="196"/>
      <c r="D85" s="196"/>
      <c r="E85" s="196"/>
      <c r="F85" s="196"/>
      <c r="G85" s="196"/>
      <c r="H85" s="196"/>
      <c r="I85" s="196"/>
      <c r="J85" s="196"/>
      <c r="K85" s="196"/>
      <c r="L85" s="196"/>
    </row>
  </sheetData>
  <mergeCells count="132">
    <mergeCell ref="B85:L85"/>
    <mergeCell ref="B82:D82"/>
    <mergeCell ref="E82:I82"/>
    <mergeCell ref="J82:L82"/>
    <mergeCell ref="B83:D84"/>
    <mergeCell ref="E83:I83"/>
    <mergeCell ref="J83:L83"/>
    <mergeCell ref="E84:I84"/>
    <mergeCell ref="J84:L84"/>
    <mergeCell ref="B77:C77"/>
    <mergeCell ref="D77:H77"/>
    <mergeCell ref="I77:K77"/>
    <mergeCell ref="B78:C78"/>
    <mergeCell ref="D78:L78"/>
    <mergeCell ref="B80:L80"/>
    <mergeCell ref="B71:L71"/>
    <mergeCell ref="B72:L72"/>
    <mergeCell ref="B74:L74"/>
    <mergeCell ref="C75:E75"/>
    <mergeCell ref="I75:L75"/>
    <mergeCell ref="B76:D76"/>
    <mergeCell ref="F76:L76"/>
    <mergeCell ref="B63:L63"/>
    <mergeCell ref="B64:L64"/>
    <mergeCell ref="C66:E66"/>
    <mergeCell ref="I66:L66"/>
    <mergeCell ref="B68:L68"/>
    <mergeCell ref="B69:D69"/>
    <mergeCell ref="F69:L69"/>
    <mergeCell ref="C58:F58"/>
    <mergeCell ref="G58:H58"/>
    <mergeCell ref="I58:J58"/>
    <mergeCell ref="K58:L58"/>
    <mergeCell ref="B59:L59"/>
    <mergeCell ref="B61:G61"/>
    <mergeCell ref="I61:L61"/>
    <mergeCell ref="C56:F56"/>
    <mergeCell ref="G56:H56"/>
    <mergeCell ref="I56:J56"/>
    <mergeCell ref="K56:L56"/>
    <mergeCell ref="C57:F57"/>
    <mergeCell ref="G57:H57"/>
    <mergeCell ref="I57:J57"/>
    <mergeCell ref="K57:L57"/>
    <mergeCell ref="B50:D52"/>
    <mergeCell ref="L50:L51"/>
    <mergeCell ref="B54:B55"/>
    <mergeCell ref="C54:F55"/>
    <mergeCell ref="G54:L54"/>
    <mergeCell ref="G55:H55"/>
    <mergeCell ref="I55:J55"/>
    <mergeCell ref="K55:L55"/>
    <mergeCell ref="F43:G43"/>
    <mergeCell ref="H43:I43"/>
    <mergeCell ref="J43:K43"/>
    <mergeCell ref="F44:G44"/>
    <mergeCell ref="H44:I44"/>
    <mergeCell ref="J44:K44"/>
    <mergeCell ref="C38:F38"/>
    <mergeCell ref="G38:I38"/>
    <mergeCell ref="J38:L38"/>
    <mergeCell ref="B40:L40"/>
    <mergeCell ref="B42:C44"/>
    <mergeCell ref="D42:E42"/>
    <mergeCell ref="F42:G42"/>
    <mergeCell ref="H42:I42"/>
    <mergeCell ref="J42:K42"/>
    <mergeCell ref="D43:E44"/>
    <mergeCell ref="C36:F36"/>
    <mergeCell ref="G36:I36"/>
    <mergeCell ref="J36:L36"/>
    <mergeCell ref="C37:F37"/>
    <mergeCell ref="G37:I37"/>
    <mergeCell ref="J37:L37"/>
    <mergeCell ref="C32:F32"/>
    <mergeCell ref="G32:I32"/>
    <mergeCell ref="J32:L32"/>
    <mergeCell ref="B34:L34"/>
    <mergeCell ref="C35:F35"/>
    <mergeCell ref="G35:I35"/>
    <mergeCell ref="J35:L35"/>
    <mergeCell ref="C30:F30"/>
    <mergeCell ref="G30:I30"/>
    <mergeCell ref="J30:L30"/>
    <mergeCell ref="C31:F31"/>
    <mergeCell ref="G31:I31"/>
    <mergeCell ref="J31:L31"/>
    <mergeCell ref="C26:F26"/>
    <mergeCell ref="G26:I26"/>
    <mergeCell ref="J26:L26"/>
    <mergeCell ref="B28:L28"/>
    <mergeCell ref="C29:F29"/>
    <mergeCell ref="G29:I29"/>
    <mergeCell ref="J29:L29"/>
    <mergeCell ref="C24:F24"/>
    <mergeCell ref="G24:I24"/>
    <mergeCell ref="J24:L24"/>
    <mergeCell ref="C25:F25"/>
    <mergeCell ref="G25:I25"/>
    <mergeCell ref="J25:L25"/>
    <mergeCell ref="C18:F18"/>
    <mergeCell ref="G18:I18"/>
    <mergeCell ref="J18:L18"/>
    <mergeCell ref="B20:L20"/>
    <mergeCell ref="B21:L21"/>
    <mergeCell ref="C23:F23"/>
    <mergeCell ref="G23:I23"/>
    <mergeCell ref="J23:L23"/>
    <mergeCell ref="C16:F16"/>
    <mergeCell ref="G16:I16"/>
    <mergeCell ref="J16:L16"/>
    <mergeCell ref="C17:F17"/>
    <mergeCell ref="G17:I17"/>
    <mergeCell ref="J17:L17"/>
    <mergeCell ref="B11:C11"/>
    <mergeCell ref="D11:L11"/>
    <mergeCell ref="B13:L13"/>
    <mergeCell ref="C15:F15"/>
    <mergeCell ref="G15:I15"/>
    <mergeCell ref="J15:L15"/>
    <mergeCell ref="B9:C9"/>
    <mergeCell ref="D9:G9"/>
    <mergeCell ref="H9:J9"/>
    <mergeCell ref="K9:L9"/>
    <mergeCell ref="B10:C10"/>
    <mergeCell ref="D10:L10"/>
    <mergeCell ref="I3:J3"/>
    <mergeCell ref="K3:L3"/>
    <mergeCell ref="I4:J4"/>
    <mergeCell ref="K4:L4"/>
    <mergeCell ref="B6:L6"/>
    <mergeCell ref="B7:L7"/>
  </mergeCells>
  <printOptions horizontalCentered="1"/>
  <pageMargins left="0.70866141732283472" right="0.70866141732283472" top="0.74803149606299213" bottom="0.74803149606299213" header="0.31496062992125984" footer="0.31496062992125984"/>
  <pageSetup scale="81" fitToHeight="0" orientation="landscape" r:id="rId1"/>
  <headerFooter>
    <oddHeader>&amp;L&amp;G&amp;C"2026 AÑO DEL HUMANISMO MEXICANO DEL ESTADO DE MÉXICO"
&amp;"-,Negrita"ESTUDIO DE MERCADO&amp;R&amp;G</oddHead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F801-A4F4-4D42-8ABF-4FF273AE8C5E}">
  <dimension ref="A5:H42"/>
  <sheetViews>
    <sheetView workbookViewId="0">
      <selection activeCell="F14" sqref="F14"/>
    </sheetView>
  </sheetViews>
  <sheetFormatPr baseColWidth="10" defaultColWidth="11.5703125" defaultRowHeight="12.75" x14ac:dyDescent="0.25"/>
  <cols>
    <col min="1" max="1" width="11.42578125" style="201" customWidth="1"/>
    <col min="2" max="2" width="38.7109375" style="209" bestFit="1" customWidth="1"/>
    <col min="3" max="3" width="10.42578125" style="209" bestFit="1" customWidth="1"/>
    <col min="4" max="4" width="8.7109375" style="210" customWidth="1"/>
    <col min="5" max="5" width="10.28515625" style="210" bestFit="1" customWidth="1"/>
    <col min="6" max="16384" width="11.5703125" style="199"/>
  </cols>
  <sheetData>
    <row r="5" spans="1:5" ht="18" x14ac:dyDescent="0.25">
      <c r="A5" s="198" t="str">
        <f>'[2]E.M. '!F10</f>
        <v xml:space="preserve"> MARIA DEL CARMEN MAAWAD ROBERT </v>
      </c>
      <c r="B5" s="198"/>
      <c r="C5" s="198"/>
      <c r="D5" s="198"/>
      <c r="E5" s="198"/>
    </row>
    <row r="6" spans="1:5" ht="16.5" x14ac:dyDescent="0.3">
      <c r="A6" s="200" t="str">
        <f>'[2]E.M. '!F11</f>
        <v>MARC5712047Y6</v>
      </c>
      <c r="B6" s="200"/>
      <c r="C6" s="200"/>
      <c r="D6" s="200"/>
      <c r="E6" s="200"/>
    </row>
    <row r="7" spans="1:5" x14ac:dyDescent="0.25">
      <c r="B7" s="201"/>
      <c r="C7" s="201"/>
      <c r="D7" s="201"/>
      <c r="E7" s="201"/>
    </row>
    <row r="8" spans="1:5" x14ac:dyDescent="0.2">
      <c r="A8" s="202"/>
      <c r="B8" s="203" t="s">
        <v>83</v>
      </c>
      <c r="C8" s="203"/>
      <c r="D8" s="204" t="s">
        <v>99</v>
      </c>
      <c r="E8" s="204"/>
    </row>
    <row r="9" spans="1:5" x14ac:dyDescent="0.2">
      <c r="A9" s="202"/>
      <c r="B9" s="202"/>
      <c r="C9" s="202"/>
      <c r="D9" s="202"/>
      <c r="E9" s="202"/>
    </row>
    <row r="10" spans="1:5" x14ac:dyDescent="0.2">
      <c r="A10" s="205" t="s">
        <v>84</v>
      </c>
      <c r="B10" s="205"/>
      <c r="C10" s="205"/>
      <c r="D10" s="205"/>
      <c r="E10" s="205"/>
    </row>
    <row r="11" spans="1:5" x14ac:dyDescent="0.2">
      <c r="A11" s="205" t="s">
        <v>60</v>
      </c>
      <c r="B11" s="205"/>
      <c r="C11" s="205"/>
      <c r="D11" s="205"/>
      <c r="E11" s="205"/>
    </row>
    <row r="12" spans="1:5" x14ac:dyDescent="0.2">
      <c r="A12" s="205" t="s">
        <v>62</v>
      </c>
      <c r="B12" s="205"/>
      <c r="C12" s="205"/>
      <c r="D12" s="205"/>
      <c r="E12" s="205"/>
    </row>
    <row r="13" spans="1:5" x14ac:dyDescent="0.2">
      <c r="A13" s="206" t="s">
        <v>85</v>
      </c>
      <c r="B13" s="206"/>
      <c r="C13" s="206"/>
      <c r="D13" s="206"/>
      <c r="E13" s="206"/>
    </row>
    <row r="14" spans="1:5" ht="13.5" x14ac:dyDescent="0.25">
      <c r="A14" s="207" t="s">
        <v>86</v>
      </c>
      <c r="B14" s="207"/>
      <c r="C14" s="207"/>
      <c r="D14" s="207"/>
      <c r="E14" s="207"/>
    </row>
    <row r="15" spans="1:5" x14ac:dyDescent="0.25">
      <c r="B15" s="201"/>
      <c r="C15" s="201"/>
      <c r="D15" s="201"/>
      <c r="E15" s="201"/>
    </row>
    <row r="16" spans="1:5" x14ac:dyDescent="0.2">
      <c r="A16" s="208" t="s">
        <v>87</v>
      </c>
      <c r="B16" s="208"/>
      <c r="C16" s="208"/>
      <c r="D16" s="208"/>
      <c r="E16" s="208"/>
    </row>
    <row r="18" spans="1:8" ht="25.5" x14ac:dyDescent="0.25">
      <c r="A18" s="211" t="s">
        <v>24</v>
      </c>
      <c r="B18" s="211" t="s">
        <v>88</v>
      </c>
      <c r="C18" s="211" t="s">
        <v>25</v>
      </c>
      <c r="D18" s="212" t="s">
        <v>89</v>
      </c>
      <c r="E18" s="212" t="s">
        <v>27</v>
      </c>
    </row>
    <row r="19" spans="1:8" ht="23.25" customHeight="1" x14ac:dyDescent="0.2">
      <c r="A19" s="213" t="str">
        <f>'[2]E.M. '!D13</f>
        <v>SERVICIO</v>
      </c>
      <c r="B19" s="214" t="str">
        <f>Hoja1!C46</f>
        <v xml:space="preserve">SERVICIO DE FUMIGACIÓN EN ALMACEN </v>
      </c>
      <c r="C19" s="213">
        <f>'[2]E.M. '!E13</f>
        <v>1</v>
      </c>
      <c r="D19" s="215">
        <f>Hoja1!F46</f>
        <v>1000</v>
      </c>
      <c r="E19" s="215">
        <f>C19*D19</f>
        <v>1000</v>
      </c>
    </row>
    <row r="20" spans="1:8" ht="25.5" x14ac:dyDescent="0.2">
      <c r="A20" s="213" t="str">
        <f>'[2]E.M. '!D14</f>
        <v>SERVICIO</v>
      </c>
      <c r="B20" s="214" t="str">
        <f>Hoja1!C47</f>
        <v>SERVICIO DE FUMIGACIÓN EN COMEDOR COMUNITARIO</v>
      </c>
      <c r="C20" s="213">
        <f>'[2]E.M. '!E14</f>
        <v>1</v>
      </c>
      <c r="D20" s="215">
        <f>Hoja1!F47</f>
        <v>1000</v>
      </c>
      <c r="E20" s="215">
        <f t="shared" ref="E20:E22" si="0">C20*D20</f>
        <v>1000</v>
      </c>
    </row>
    <row r="21" spans="1:8" ht="26.25" customHeight="1" x14ac:dyDescent="0.2">
      <c r="A21" s="213" t="str">
        <f>'[2]E.M. '!D15</f>
        <v>SERVICIO</v>
      </c>
      <c r="B21" s="214" t="str">
        <f>Hoja1!C48</f>
        <v>SERVICIO DE FUMIGACIÓN EN ESTANCIA INFANTIL</v>
      </c>
      <c r="C21" s="213">
        <f>'[2]E.M. '!E15</f>
        <v>1</v>
      </c>
      <c r="D21" s="215">
        <f>Hoja1!F48</f>
        <v>1500</v>
      </c>
      <c r="E21" s="215">
        <f t="shared" si="0"/>
        <v>1500</v>
      </c>
    </row>
    <row r="22" spans="1:8" ht="25.5" x14ac:dyDescent="0.2">
      <c r="A22" s="213" t="str">
        <f>'[2]E.M. '!D16</f>
        <v>SERVICIO</v>
      </c>
      <c r="B22" s="214" t="str">
        <f>Hoja1!C49</f>
        <v>SERVICIO DE DESINFECCIÓN EN COMEDOR COMUNITARIO</v>
      </c>
      <c r="C22" s="213">
        <f>'[2]E.M. '!E16</f>
        <v>1</v>
      </c>
      <c r="D22" s="215">
        <f>Hoja1!F49</f>
        <v>1000</v>
      </c>
      <c r="E22" s="215">
        <f t="shared" si="0"/>
        <v>1000</v>
      </c>
    </row>
    <row r="23" spans="1:8" x14ac:dyDescent="0.2">
      <c r="A23" s="216" t="s">
        <v>90</v>
      </c>
      <c r="B23" s="216"/>
      <c r="C23" s="217"/>
      <c r="D23" s="218" t="s">
        <v>30</v>
      </c>
      <c r="E23" s="219">
        <f>SUM(E19:E22)</f>
        <v>4500</v>
      </c>
    </row>
    <row r="24" spans="1:8" x14ac:dyDescent="0.2">
      <c r="A24" s="220" t="s">
        <v>91</v>
      </c>
      <c r="B24" s="220"/>
      <c r="C24" s="220"/>
      <c r="D24" s="218" t="s">
        <v>31</v>
      </c>
      <c r="E24" s="219">
        <f>'[2]E.M. '!G18</f>
        <v>720</v>
      </c>
      <c r="H24" s="221"/>
    </row>
    <row r="25" spans="1:8" x14ac:dyDescent="0.2">
      <c r="A25" s="220"/>
      <c r="B25" s="220"/>
      <c r="C25" s="220"/>
      <c r="D25" s="218" t="s">
        <v>32</v>
      </c>
      <c r="E25" s="222">
        <f>SUM(E23:E24)</f>
        <v>5220</v>
      </c>
    </row>
    <row r="27" spans="1:8" ht="13.5" x14ac:dyDescent="0.25">
      <c r="A27" s="223" t="s">
        <v>92</v>
      </c>
      <c r="B27" s="223"/>
      <c r="C27" s="223"/>
      <c r="D27" s="223"/>
      <c r="E27" s="223"/>
    </row>
    <row r="28" spans="1:8" ht="13.5" x14ac:dyDescent="0.25">
      <c r="A28" s="224"/>
      <c r="B28" s="224"/>
      <c r="C28" s="225"/>
      <c r="D28" s="226"/>
      <c r="E28" s="226"/>
    </row>
    <row r="29" spans="1:8" ht="13.5" x14ac:dyDescent="0.25">
      <c r="A29" s="227" t="s">
        <v>93</v>
      </c>
      <c r="B29" s="227"/>
      <c r="C29" s="225"/>
      <c r="D29" s="226"/>
      <c r="E29" s="226"/>
    </row>
    <row r="30" spans="1:8" ht="27" customHeight="1" x14ac:dyDescent="0.25">
      <c r="A30" s="228" t="str">
        <f>'[2]E.M. '!C20</f>
        <v>EN LAS DIFERENTES ÁREAS ADMINISTRATIVAS DEL SMDIF, UBICADA EN SAN FELIPE DEL PROGRESO, MÉXICO. C.P. 50640</v>
      </c>
      <c r="B30" s="228"/>
      <c r="C30" s="228"/>
      <c r="D30" s="228"/>
      <c r="E30" s="228"/>
    </row>
    <row r="31" spans="1:8" ht="13.5" x14ac:dyDescent="0.25">
      <c r="A31" s="229" t="s">
        <v>39</v>
      </c>
      <c r="B31" s="229"/>
      <c r="C31" s="225"/>
      <c r="D31" s="226"/>
      <c r="E31" s="226"/>
    </row>
    <row r="32" spans="1:8" ht="55.5" customHeight="1" x14ac:dyDescent="0.25">
      <c r="A32" s="228" t="str">
        <f>'[2]E.M. '!I20</f>
        <v>DENTRO DE LOS 30 DÍAS HÁBILES POSTERIORES A LA ENTREGA TOTAL DE LOS BIENES Y/O SERVICIOS Y PRESENTACIÓN DE FACTURA A LA TESORERÍA, DEBIDAMENTE SOPORTADA Y REQUISITADA, NO APLICARA EN PAGOS DE ANTICIPOS, NI EN RECONOCIMIENTOS DE INTERESES, A TRAVÉS DE TRANSFERENCIA O CHEQUE.</v>
      </c>
      <c r="B32" s="228"/>
      <c r="C32" s="228"/>
      <c r="D32" s="228"/>
      <c r="E32" s="228"/>
    </row>
    <row r="33" spans="1:5" ht="13.5" x14ac:dyDescent="0.25">
      <c r="A33" s="227" t="s">
        <v>94</v>
      </c>
      <c r="B33" s="225"/>
      <c r="C33" s="225"/>
      <c r="D33" s="226"/>
      <c r="E33" s="226"/>
    </row>
    <row r="34" spans="1:5" ht="13.5" x14ac:dyDescent="0.25">
      <c r="A34" s="228" t="s">
        <v>100</v>
      </c>
      <c r="B34" s="228"/>
      <c r="C34" s="228"/>
      <c r="D34" s="228"/>
      <c r="E34" s="228"/>
    </row>
    <row r="35" spans="1:5" ht="13.5" x14ac:dyDescent="0.25">
      <c r="A35" s="229" t="s">
        <v>95</v>
      </c>
      <c r="B35" s="229"/>
      <c r="C35" s="225"/>
      <c r="D35" s="226"/>
      <c r="E35" s="226"/>
    </row>
    <row r="36" spans="1:5" ht="13.5" x14ac:dyDescent="0.25">
      <c r="A36" s="207" t="s">
        <v>96</v>
      </c>
      <c r="B36" s="207"/>
      <c r="C36" s="207"/>
      <c r="D36" s="207"/>
      <c r="E36" s="207"/>
    </row>
    <row r="37" spans="1:5" ht="13.5" x14ac:dyDescent="0.25">
      <c r="A37" s="224"/>
      <c r="B37" s="225"/>
      <c r="C37" s="225"/>
      <c r="D37" s="226"/>
      <c r="E37" s="226"/>
    </row>
    <row r="38" spans="1:5" ht="13.5" x14ac:dyDescent="0.25">
      <c r="A38" s="207" t="s">
        <v>97</v>
      </c>
      <c r="B38" s="207"/>
      <c r="C38" s="207"/>
      <c r="D38" s="207"/>
      <c r="E38" s="207"/>
    </row>
    <row r="39" spans="1:5" ht="13.5" x14ac:dyDescent="0.25">
      <c r="A39" s="224"/>
      <c r="B39" s="225"/>
      <c r="C39" s="225"/>
      <c r="D39" s="226"/>
      <c r="E39" s="226"/>
    </row>
    <row r="40" spans="1:5" ht="13.5" x14ac:dyDescent="0.25">
      <c r="A40" s="224"/>
      <c r="B40" s="230" t="s">
        <v>98</v>
      </c>
      <c r="C40" s="225"/>
      <c r="D40" s="226"/>
      <c r="E40" s="226"/>
    </row>
    <row r="41" spans="1:5" ht="26.25" customHeight="1" x14ac:dyDescent="0.25">
      <c r="A41" s="224"/>
      <c r="B41" s="231" t="str">
        <f>'[2]DATOS GENERALES'!B14</f>
        <v xml:space="preserve">C. MARIA DEL CARMEN MAAWAD ROBERT </v>
      </c>
      <c r="C41" s="225"/>
      <c r="D41" s="226"/>
      <c r="E41" s="226"/>
    </row>
    <row r="42" spans="1:5" x14ac:dyDescent="0.2">
      <c r="A42" s="232"/>
      <c r="B42" s="233"/>
      <c r="C42" s="233"/>
      <c r="D42" s="234"/>
      <c r="E42" s="234"/>
    </row>
  </sheetData>
  <mergeCells count="20">
    <mergeCell ref="A36:E36"/>
    <mergeCell ref="A38:E38"/>
    <mergeCell ref="A27:E27"/>
    <mergeCell ref="A30:E30"/>
    <mergeCell ref="A31:B31"/>
    <mergeCell ref="A32:E32"/>
    <mergeCell ref="A34:E34"/>
    <mergeCell ref="A35:B35"/>
    <mergeCell ref="A12:E12"/>
    <mergeCell ref="A13:E13"/>
    <mergeCell ref="A14:E14"/>
    <mergeCell ref="A16:E16"/>
    <mergeCell ref="A23:B23"/>
    <mergeCell ref="A24:C25"/>
    <mergeCell ref="A5:E5"/>
    <mergeCell ref="A6:E6"/>
    <mergeCell ref="B8:C8"/>
    <mergeCell ref="D8:E8"/>
    <mergeCell ref="A10:E10"/>
    <mergeCell ref="A11:E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analau.antonio@gmail.com</dc:creator>
  <cp:lastModifiedBy>analau.antonio@gmail.com</cp:lastModifiedBy>
  <cp:lastPrinted>2026-08-13T20:18:48Z</cp:lastPrinted>
  <dcterms:created xsi:type="dcterms:W3CDTF">2026-08-13T18:59:13Z</dcterms:created>
  <dcterms:modified xsi:type="dcterms:W3CDTF">2026-08-14T16:08:24Z</dcterms:modified>
</cp:coreProperties>
</file>