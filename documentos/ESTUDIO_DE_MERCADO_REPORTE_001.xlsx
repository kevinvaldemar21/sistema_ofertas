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D22" i="2" l="1"/>
  <c r="E22" i="2" s="1"/>
  <c r="B22" i="2"/>
  <c r="D21" i="2"/>
  <c r="E21" i="2" s="1"/>
  <c r="B21" i="2"/>
  <c r="E20" i="2"/>
  <c r="D20" i="2"/>
  <c r="B20" i="2"/>
  <c r="D19" i="2"/>
  <c r="E19" i="2" s="1"/>
  <c r="B19" i="2"/>
  <c r="F76" i="1"/>
  <c r="I75" i="1"/>
  <c r="G75" i="1"/>
  <c r="C75" i="1"/>
  <c r="F69" i="1"/>
  <c r="E69" i="1"/>
  <c r="E76" i="1" s="1"/>
  <c r="H61" i="1"/>
  <c r="K56" i="1"/>
  <c r="K57" i="1" s="1"/>
  <c r="K58" i="1" s="1"/>
  <c r="K55" i="1"/>
  <c r="L50" i="1"/>
  <c r="L49" i="1"/>
  <c r="I49" i="1"/>
  <c r="G49" i="1"/>
  <c r="H43" i="1"/>
  <c r="I55" i="1" s="1"/>
  <c r="F43" i="1"/>
  <c r="G55" i="1" s="1"/>
  <c r="E23" i="2" l="1"/>
  <c r="E25" i="2" s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<sst xmlns="http://schemas.openxmlformats.org/spreadsheetml/2006/main" count="160" uniqueCount="102">
  <si>
    <t>FECHA DE ELABORACIÓN:</t>
  </si>
  <si>
    <t>31 de agosto 2026</t>
  </si>
  <si>
    <t>EXPEDIENTE No.:</t>
  </si>
  <si>
    <t>REPORTE_001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</si>
  <si>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</si>
  <si>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</si>
  <si>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</si>
  <si>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E00 311 COOR. DESARROLLO COMUNITARIO (DESAYUNOS FRIOS)</t>
  </si>
  <si>
    <t>CLAVE PROGRAMATICA:</t>
  </si>
  <si>
    <t>205060301</t>
  </si>
  <si>
    <t>PARTIDA PRESUPUESTAL</t>
  </si>
  <si>
    <t>1122 SERVICIO DE MONITOREO Y SEGUIMIENTO</t>
  </si>
  <si>
    <t xml:space="preserve">OBJETO DE LA CONTRATACIÓN Y/O ADQUISICIÓN: </t>
  </si>
  <si>
    <t>REALIZAR SERVICIOS DE SEGUIMIENTO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</si>
  <si>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</si>
  <si>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</si>
  <si>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</si>
  <si>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</si>
  <si>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</si>
  <si>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Gabriel Lopez Crisostomo</t>
  </si>
  <si>
    <t>7122893019</t>
  </si>
  <si>
    <t>SI</t>
  </si>
  <si>
    <t>Santiago Lopez Cruz</t>
  </si>
  <si>
    <t>8120381738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</si>
  <si>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</si>
  <si>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</si>
  <si>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</si>
  <si>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NO</t>
  </si>
  <si>
    <t>B. CALIDAD
DE LOS (PROVEEDORES O PRESTADORES DE SERVICIO) CONSULTADOS, LOS SIGUIENTES CUMPLEN CON LAS ESPECIFICACIONES TECNICAS DE LOS (BIENES O SERVICIOS) SOLICITADOS: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</si>
  <si>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</si>
  <si>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</si>
  <si>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</si>
  <si>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</si>
  <si>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</si>
  <si>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</si>
  <si>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</si>
  <si>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</si>
  <si>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</si>
  <si>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</si>
  <si>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</si>
  <si>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</si>
  <si>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SERVICIO DE EXTRACCION</t>
  </si>
  <si>
    <t>SERVICIO</t>
  </si>
  <si>
    <t>SERVICIO DE MANEJO</t>
  </si>
  <si>
    <t>SERVICIO DE CONSUMO</t>
  </si>
  <si>
    <t>SUBTOTAL</t>
  </si>
  <si>
    <t>I.V.A.</t>
  </si>
  <si>
    <t>TOTAL</t>
  </si>
  <si>
    <t xml:space="preserve">CONDICIONES COMERCIALES </t>
  </si>
  <si>
    <t>CUMPLEN CON LAS CONDICIONES COMERCIALES (SI/NO)</t>
  </si>
  <si>
    <t>LUGAR DE ENTREGA DE LOS BIENES Y/O SERVICIOS:</t>
  </si>
  <si>
    <t>DIF</t>
  </si>
  <si>
    <t>PLAZO DE ENTREGA O VIGENCIA:</t>
  </si>
  <si>
    <t>5 DIAS</t>
  </si>
  <si>
    <t>FORMA DE PAGO:</t>
  </si>
  <si>
    <t>TESORERIA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</si>
  <si>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</si>
  <si>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</si>
  <si>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MIL QUINIENTOS OCHO PESOS 00/100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</si>
  <si>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</si>
  <si>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</si>
  <si>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</si>
  <si>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</si>
  <si>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HSG782HS</t>
  </si>
  <si>
    <t>DOMICILIO:</t>
  </si>
  <si>
    <t>SAN JUAN COAJOMULCO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</si>
  <si>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</si>
  <si>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</si>
  <si>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</si>
  <si>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ADJUDICACION POR CONTRATO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</si>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</sst>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  <numFmt numFmtId="166" formatCode="\$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164" fontId="2" fillId="0" borderId="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166" fontId="2" fillId="4" borderId="9" xfId="1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horizontal="right" vertical="center" wrapText="1"/>
    </xf>
    <xf numFmtId="166" fontId="9" fillId="4" borderId="9" xfId="2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vertical="center" wrapText="1"/>
    </xf>
    <xf numFmtId="166" fontId="2" fillId="4" borderId="17" xfId="0" applyNumberFormat="1" applyFont="1" applyFill="1" applyBorder="1" applyAlignment="1">
      <alignment horizontal="right" vertical="center" wrapText="1"/>
    </xf>
    <xf numFmtId="166" fontId="3" fillId="4" borderId="9" xfId="2" applyNumberFormat="1" applyFont="1" applyFill="1" applyBorder="1" applyAlignment="1">
      <alignment horizontal="right" vertical="center" wrapText="1"/>
    </xf>
    <xf numFmtId="166" fontId="2" fillId="4" borderId="17" xfId="0" applyNumberFormat="1" applyFont="1" applyFill="1" applyBorder="1" applyAlignment="1">
      <alignment horizontal="center" vertical="center" wrapText="1"/>
    </xf>
    <xf numFmtId="166" fontId="3" fillId="0" borderId="8" xfId="0" applyNumberFormat="1" applyFont="1" applyBorder="1" applyAlignment="1">
      <alignment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6" fontId="3" fillId="4" borderId="13" xfId="0" applyNumberFormat="1" applyFont="1" applyFill="1" applyBorder="1" applyAlignment="1">
      <alignment horizontal="center" vertical="center" wrapText="1"/>
    </xf>
    <xf numFmtId="166" fontId="0" fillId="0" borderId="14" xfId="0" applyNumberFormat="1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79" workbookViewId="0">
      <selection activeCell="N13" sqref="N13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98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98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97"/>
      <c r="H2" s="7"/>
      <c r="I2" s="7"/>
      <c r="J2" s="97"/>
      <c r="K2" s="97"/>
      <c r="L2" s="8"/>
    </row>
    <row r="3" spans="2:12" ht="14.45" customHeight="1">
      <c r="B3" s="91"/>
      <c r="C3" s="81"/>
      <c r="D3" s="81"/>
      <c r="E3" s="81"/>
      <c r="F3" s="81"/>
      <c r="G3" s="81"/>
      <c r="H3" s="81"/>
      <c r="I3" s="161" t="s">
        <v>0</v>
      </c>
      <c r="J3" s="114"/>
      <c r="K3" s="143" t="s">
        <v>1</v>
      </c>
      <c r="L3" s="115"/>
    </row>
    <row r="4" spans="2:12" ht="18.600000000000001" customHeight="1">
      <c r="B4" s="9"/>
      <c r="D4" s="1"/>
      <c r="I4" s="163" t="s">
        <v>2</v>
      </c>
      <c r="J4" s="114"/>
      <c r="K4" s="166" t="s">
        <v>3</v>
      </c>
      <c r="L4" s="115"/>
    </row>
    <row r="5" spans="2:12" ht="8.4499999999999993" customHeight="1">
      <c r="B5" s="9"/>
      <c r="D5" s="1"/>
      <c r="I5" s="82"/>
      <c r="J5" s="82"/>
      <c r="K5" s="10"/>
      <c r="L5" s="11"/>
    </row>
    <row r="6" spans="2:12" ht="41.45" customHeight="1">
      <c r="B6" s="142" t="s">
        <v>4</v>
      </c>
      <c r="C6" s="131"/>
      <c r="D6" s="132"/>
      <c r="E6" s="131"/>
      <c r="F6" s="131"/>
      <c r="G6" s="114"/>
      <c r="H6" s="133"/>
      <c r="I6" s="133"/>
      <c r="J6" s="114"/>
      <c r="K6" s="114"/>
      <c r="L6" s="115"/>
    </row>
    <row r="7" spans="2:12" ht="16.899999999999999" customHeight="1">
      <c r="B7" s="142" t="s">
        <v>5</v>
      </c>
      <c r="C7" s="131"/>
      <c r="D7" s="132"/>
      <c r="E7" s="131"/>
      <c r="F7" s="131"/>
      <c r="G7" s="114"/>
      <c r="H7" s="133"/>
      <c r="I7" s="133"/>
      <c r="J7" s="114"/>
      <c r="K7" s="114"/>
      <c r="L7" s="115"/>
    </row>
    <row r="8" spans="2:12" ht="7.9" customHeight="1" thickBot="1">
      <c r="B8" s="9"/>
      <c r="D8" s="1"/>
      <c r="J8" s="10"/>
      <c r="K8" s="10"/>
      <c r="L8" s="11"/>
    </row>
    <row r="9" spans="2:12" ht="18.600000000000001" customHeight="1" thickBot="1">
      <c r="B9" s="117" t="s">
        <v>6</v>
      </c>
      <c r="C9" s="112"/>
      <c r="D9" s="110" t="s">
        <v>7</v>
      </c>
      <c r="E9" s="111"/>
      <c r="F9" s="111"/>
      <c r="G9" s="112"/>
      <c r="H9" s="155" t="s">
        <v>8</v>
      </c>
      <c r="I9" s="111"/>
      <c r="J9" s="112"/>
      <c r="K9" s="147" t="s">
        <v>9</v>
      </c>
      <c r="L9" s="112"/>
    </row>
    <row r="10" spans="2:12" ht="18.600000000000001" customHeight="1" thickBot="1">
      <c r="B10" s="117" t="s">
        <v>10</v>
      </c>
      <c r="C10" s="112"/>
      <c r="D10" s="110" t="s">
        <v>11</v>
      </c>
      <c r="E10" s="111"/>
      <c r="F10" s="111"/>
      <c r="G10" s="111"/>
      <c r="H10" s="111"/>
      <c r="I10" s="111"/>
      <c r="J10" s="111"/>
      <c r="K10" s="111"/>
      <c r="L10" s="112"/>
    </row>
    <row r="11" spans="2:12" ht="29.25" customHeight="1" thickBot="1">
      <c r="B11" s="117" t="s">
        <v>12</v>
      </c>
      <c r="C11" s="112"/>
      <c r="D11" s="116" t="s">
        <v>13</v>
      </c>
      <c r="E11" s="111"/>
      <c r="F11" s="111"/>
      <c r="G11" s="111"/>
      <c r="H11" s="111"/>
      <c r="I11" s="111"/>
      <c r="J11" s="111"/>
      <c r="K11" s="111"/>
      <c r="L11" s="112"/>
    </row>
    <row r="12" spans="2:12" ht="7.9" customHeight="1" thickBot="1">
      <c r="B12" s="80"/>
      <c r="C12" s="96"/>
      <c r="D12" s="85"/>
      <c r="E12" s="85"/>
      <c r="F12" s="85"/>
      <c r="G12" s="85"/>
      <c r="H12" s="85"/>
      <c r="I12" s="85"/>
      <c r="J12" s="85"/>
      <c r="K12" s="85"/>
      <c r="L12" s="86"/>
    </row>
    <row r="13" spans="2:12" ht="45.6" customHeight="1">
      <c r="B13" s="124" t="s">
        <v>14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6"/>
    </row>
    <row r="14" spans="2:12" ht="7.9" customHeight="1" thickBot="1">
      <c r="B14" s="91"/>
      <c r="C14" s="81"/>
      <c r="D14" s="83"/>
      <c r="E14" s="83"/>
      <c r="F14" s="83"/>
      <c r="G14" s="83"/>
      <c r="H14" s="83"/>
      <c r="I14" s="83"/>
      <c r="J14" s="83"/>
      <c r="K14" s="83"/>
      <c r="L14" s="84"/>
    </row>
    <row r="15" spans="2:12" ht="24.6" customHeight="1" thickBot="1">
      <c r="B15" s="87" t="s">
        <v>15</v>
      </c>
      <c r="C15" s="117" t="s">
        <v>16</v>
      </c>
      <c r="D15" s="111"/>
      <c r="E15" s="111"/>
      <c r="F15" s="112"/>
      <c r="G15" s="110" t="s">
        <v>17</v>
      </c>
      <c r="H15" s="111"/>
      <c r="I15" s="112"/>
      <c r="J15" s="110" t="s">
        <v>18</v>
      </c>
      <c r="K15" s="111"/>
      <c r="L15" s="112"/>
    </row>
    <row r="16" spans="2:12" ht="12" customHeight="1" thickBot="1">
      <c r="B16" s="87">
        <v>1</v>
      </c>
      <c r="C16" s="116" t="s">
        <v>19</v>
      </c>
      <c r="D16" s="111"/>
      <c r="E16" s="111"/>
      <c r="F16" s="112"/>
      <c r="G16" s="110" t="s">
        <v>20</v>
      </c>
      <c r="H16" s="111"/>
      <c r="I16" s="112"/>
      <c r="J16" s="110" t="s">
        <v>21</v>
      </c>
      <c r="K16" s="111"/>
      <c r="L16" s="112"/>
    </row>
    <row r="17" spans="2:12" ht="12" customHeight="1" thickBot="1">
      <c r="B17" s="87">
        <v>2</v>
      </c>
      <c r="C17" s="116" t="s">
        <v>22</v>
      </c>
      <c r="D17" s="111"/>
      <c r="E17" s="111"/>
      <c r="F17" s="112"/>
      <c r="G17" s="110" t="s">
        <v>23</v>
      </c>
      <c r="H17" s="111"/>
      <c r="I17" s="112"/>
      <c r="J17" s="110" t="s">
        <v>21</v>
      </c>
      <c r="K17" s="111"/>
      <c r="L17" s="112"/>
    </row>
    <row r="18" spans="2:12" ht="12" customHeight="1" thickBot="1">
      <c r="B18" s="87">
        <v>3</v>
      </c>
      <c r="C18" s="116"/>
      <c r="D18" s="111"/>
      <c r="E18" s="111"/>
      <c r="F18" s="112"/>
      <c r="G18" s="110"/>
      <c r="H18" s="111"/>
      <c r="I18" s="112"/>
      <c r="J18" s="110"/>
      <c r="K18" s="111"/>
      <c r="L18" s="112"/>
    </row>
    <row r="19" spans="2:12" ht="7.9" customHeight="1">
      <c r="B19" s="89"/>
      <c r="C19" s="90"/>
      <c r="D19" s="90"/>
      <c r="E19" s="90"/>
      <c r="F19" s="90"/>
      <c r="G19" s="12"/>
      <c r="H19" s="12"/>
      <c r="I19" s="12"/>
      <c r="J19" s="12"/>
      <c r="K19" s="12"/>
      <c r="L19" s="13"/>
    </row>
    <row r="20" spans="2:12" ht="27.6" customHeight="1">
      <c r="B20" s="142" t="s">
        <v>24</v>
      </c>
      <c r="C20" s="131"/>
      <c r="D20" s="132"/>
      <c r="E20" s="131"/>
      <c r="F20" s="131"/>
      <c r="G20" s="114"/>
      <c r="H20" s="133"/>
      <c r="I20" s="133"/>
      <c r="J20" s="114"/>
      <c r="K20" s="114"/>
      <c r="L20" s="115"/>
    </row>
    <row r="21" spans="2:12" ht="28.15" customHeight="1" thickBot="1">
      <c r="B21" s="118" t="s">
        <v>25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22" spans="2:12" ht="9.6" customHeight="1" thickBot="1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2:12" ht="24.6" customHeight="1" thickBot="1">
      <c r="B23" s="87" t="s">
        <v>15</v>
      </c>
      <c r="C23" s="117" t="s">
        <v>16</v>
      </c>
      <c r="D23" s="111"/>
      <c r="E23" s="111"/>
      <c r="F23" s="112"/>
      <c r="G23" s="110" t="s">
        <v>17</v>
      </c>
      <c r="H23" s="111"/>
      <c r="I23" s="112"/>
      <c r="J23" s="110" t="s">
        <v>26</v>
      </c>
      <c r="K23" s="111"/>
      <c r="L23" s="112"/>
    </row>
    <row r="24" spans="2:12" ht="10.9" customHeight="1" thickBot="1">
      <c r="B24" s="87">
        <v>1</v>
      </c>
      <c r="C24" s="116" t="s">
        <v>19</v>
      </c>
      <c r="D24" s="111"/>
      <c r="E24" s="111"/>
      <c r="F24" s="112"/>
      <c r="G24" s="110" t="s">
        <v>20</v>
      </c>
      <c r="H24" s="111"/>
      <c r="I24" s="112"/>
      <c r="J24" s="110" t="s">
        <v>21</v>
      </c>
      <c r="K24" s="111"/>
      <c r="L24" s="112"/>
    </row>
    <row r="25" spans="2:12" ht="12" customHeight="1" thickBot="1">
      <c r="B25" s="87">
        <v>2</v>
      </c>
      <c r="C25" s="116" t="s">
        <v>22</v>
      </c>
      <c r="D25" s="111"/>
      <c r="E25" s="111"/>
      <c r="F25" s="112"/>
      <c r="G25" s="110" t="s">
        <v>23</v>
      </c>
      <c r="H25" s="111"/>
      <c r="I25" s="112"/>
      <c r="J25" s="110" t="s">
        <v>27</v>
      </c>
      <c r="K25" s="111"/>
      <c r="L25" s="112"/>
    </row>
    <row r="26" spans="2:12" ht="10.9" customHeight="1" thickBot="1">
      <c r="B26" s="87">
        <v>3</v>
      </c>
      <c r="C26" s="116"/>
      <c r="D26" s="111"/>
      <c r="E26" s="111"/>
      <c r="F26" s="112"/>
      <c r="G26" s="110"/>
      <c r="H26" s="111"/>
      <c r="I26" s="112"/>
      <c r="J26" s="110"/>
      <c r="K26" s="111"/>
      <c r="L26" s="112"/>
    </row>
    <row r="27" spans="2:12" ht="9.6" customHeight="1" thickBot="1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2:12" ht="33.6" customHeight="1" thickBot="1">
      <c r="B28" s="149" t="s">
        <v>28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2"/>
    </row>
    <row r="29" spans="2:12" ht="24.6" customHeight="1" thickBot="1">
      <c r="B29" s="87" t="s">
        <v>15</v>
      </c>
      <c r="C29" s="117" t="s">
        <v>16</v>
      </c>
      <c r="D29" s="111"/>
      <c r="E29" s="111"/>
      <c r="F29" s="112"/>
      <c r="G29" s="110" t="s">
        <v>17</v>
      </c>
      <c r="H29" s="111"/>
      <c r="I29" s="112"/>
      <c r="J29" s="110" t="s">
        <v>26</v>
      </c>
      <c r="K29" s="111"/>
      <c r="L29" s="112"/>
    </row>
    <row r="30" spans="2:12" ht="10.9" customHeight="1" thickBot="1">
      <c r="B30" s="87">
        <v>1</v>
      </c>
      <c r="C30" s="116" t="s">
        <v>19</v>
      </c>
      <c r="D30" s="111"/>
      <c r="E30" s="111"/>
      <c r="F30" s="112"/>
      <c r="G30" s="110" t="s">
        <v>20</v>
      </c>
      <c r="H30" s="111"/>
      <c r="I30" s="112"/>
      <c r="J30" s="110" t="s">
        <v>21</v>
      </c>
      <c r="K30" s="111"/>
      <c r="L30" s="112"/>
    </row>
    <row r="31" spans="2:12" ht="12" customHeight="1" thickBot="1">
      <c r="B31" s="87">
        <v>2</v>
      </c>
      <c r="C31" s="116" t="s">
        <v>22</v>
      </c>
      <c r="D31" s="111"/>
      <c r="E31" s="111"/>
      <c r="F31" s="112"/>
      <c r="G31" s="110" t="s">
        <v>23</v>
      </c>
      <c r="H31" s="111"/>
      <c r="I31" s="112"/>
      <c r="J31" s="110" t="s">
        <v>21</v>
      </c>
      <c r="K31" s="111"/>
      <c r="L31" s="112"/>
    </row>
    <row r="32" spans="2:12" ht="10.9" customHeight="1" thickBot="1">
      <c r="B32" s="87">
        <v>3</v>
      </c>
      <c r="C32" s="116"/>
      <c r="D32" s="111"/>
      <c r="E32" s="111"/>
      <c r="F32" s="112"/>
      <c r="G32" s="110"/>
      <c r="H32" s="111"/>
      <c r="I32" s="112"/>
      <c r="J32" s="110"/>
      <c r="K32" s="111"/>
      <c r="L32" s="112"/>
    </row>
    <row r="33" spans="2:12" ht="16.899999999999999" customHeight="1" thickBot="1"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2:12" ht="41.45" customHeight="1" thickBot="1">
      <c r="B34" s="149" t="s">
        <v>29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2:12" ht="24.6" customHeight="1" thickBot="1">
      <c r="B35" s="87" t="s">
        <v>15</v>
      </c>
      <c r="C35" s="117" t="s">
        <v>16</v>
      </c>
      <c r="D35" s="111"/>
      <c r="E35" s="111"/>
      <c r="F35" s="112"/>
      <c r="G35" s="110" t="s">
        <v>17</v>
      </c>
      <c r="H35" s="111"/>
      <c r="I35" s="112"/>
      <c r="J35" s="110" t="s">
        <v>26</v>
      </c>
      <c r="K35" s="111"/>
      <c r="L35" s="112"/>
    </row>
    <row r="36" spans="2:12" ht="10.9" customHeight="1" thickBot="1">
      <c r="B36" s="87">
        <v>1</v>
      </c>
      <c r="C36" s="116" t="s">
        <v>19</v>
      </c>
      <c r="D36" s="111"/>
      <c r="E36" s="111"/>
      <c r="F36" s="112"/>
      <c r="G36" s="110" t="s">
        <v>20</v>
      </c>
      <c r="H36" s="111"/>
      <c r="I36" s="112"/>
      <c r="J36" s="110" t="s">
        <v>21</v>
      </c>
      <c r="K36" s="111"/>
      <c r="L36" s="112"/>
    </row>
    <row r="37" spans="2:12" ht="12" customHeight="1" thickBot="1">
      <c r="B37" s="87">
        <v>2</v>
      </c>
      <c r="C37" s="116" t="s">
        <v>22</v>
      </c>
      <c r="D37" s="111"/>
      <c r="E37" s="111"/>
      <c r="F37" s="112"/>
      <c r="G37" s="110" t="s">
        <v>23</v>
      </c>
      <c r="H37" s="111"/>
      <c r="I37" s="112"/>
      <c r="J37" s="110" t="s">
        <v>27</v>
      </c>
      <c r="K37" s="111"/>
      <c r="L37" s="112"/>
    </row>
    <row r="38" spans="2:12" ht="10.9" customHeight="1" thickBot="1">
      <c r="B38" s="87">
        <v>3</v>
      </c>
      <c r="C38" s="116"/>
      <c r="D38" s="111"/>
      <c r="E38" s="111"/>
      <c r="F38" s="112"/>
      <c r="G38" s="110"/>
      <c r="H38" s="111"/>
      <c r="I38" s="112"/>
      <c r="J38" s="110"/>
      <c r="K38" s="111"/>
      <c r="L38" s="112"/>
    </row>
    <row r="39" spans="2:12" ht="21" customHeight="1" thickBot="1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2:12" ht="36.6" customHeight="1" thickBot="1">
      <c r="B40" s="116" t="s">
        <v>30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2" ht="9" customHeight="1" thickBot="1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2:12" ht="14.25">
      <c r="B42" s="121"/>
      <c r="C42" s="115"/>
      <c r="D42" s="165" t="s">
        <v>31</v>
      </c>
      <c r="E42" s="126"/>
      <c r="F42" s="139" t="s">
        <v>32</v>
      </c>
      <c r="G42" s="126"/>
      <c r="H42" s="153" t="s">
        <v>33</v>
      </c>
      <c r="I42" s="126"/>
      <c r="J42" s="154" t="s">
        <v>34</v>
      </c>
      <c r="K42" s="126"/>
      <c r="L42" s="20"/>
    </row>
    <row r="43" spans="2:12" ht="37.9" customHeight="1">
      <c r="B43" s="122"/>
      <c r="C43" s="115"/>
      <c r="D43" s="138"/>
      <c r="E43" s="115"/>
      <c r="F43" s="128" t="str">
        <f>C24</f>
        <v>Gabriel Lopez Crisostomo</v>
      </c>
      <c r="G43" s="115"/>
      <c r="H43" s="146" t="str">
        <f>C25</f>
        <v>Santiago Lopez Cruz</v>
      </c>
      <c r="I43" s="115"/>
      <c r="J43" s="164"/>
      <c r="K43" s="115"/>
      <c r="L43" s="21"/>
    </row>
    <row r="44" spans="2:12" ht="12" customHeight="1" thickBot="1">
      <c r="B44" s="123"/>
      <c r="C44" s="120"/>
      <c r="D44" s="123"/>
      <c r="E44" s="120"/>
      <c r="F44" s="167"/>
      <c r="G44" s="120"/>
      <c r="H44" s="159"/>
      <c r="I44" s="120"/>
      <c r="J44" s="157"/>
      <c r="K44" s="120"/>
      <c r="L44" s="21"/>
    </row>
    <row r="45" spans="2:12" ht="38.25" customHeight="1" thickBot="1">
      <c r="B45" s="22" t="s">
        <v>15</v>
      </c>
      <c r="C45" s="22" t="s">
        <v>35</v>
      </c>
      <c r="D45" s="22" t="s">
        <v>36</v>
      </c>
      <c r="E45" s="22" t="s">
        <v>37</v>
      </c>
      <c r="F45" s="22" t="s">
        <v>38</v>
      </c>
      <c r="G45" s="22" t="s">
        <v>39</v>
      </c>
      <c r="H45" s="23" t="s">
        <v>38</v>
      </c>
      <c r="I45" s="23" t="s">
        <v>39</v>
      </c>
      <c r="J45" s="22" t="s">
        <v>38</v>
      </c>
      <c r="K45" s="22" t="s">
        <v>39</v>
      </c>
      <c r="L45" s="22" t="s">
        <v>40</v>
      </c>
    </row>
    <row r="46" spans="2:12" ht="21.75" customHeight="1" thickBot="1">
      <c r="B46" s="24">
        <v>1</v>
      </c>
      <c r="C46" s="25" t="s">
        <v>41</v>
      </c>
      <c r="D46" s="26" t="s">
        <v>42</v>
      </c>
      <c r="E46" s="26">
        <v>3</v>
      </c>
      <c r="F46" s="101">
        <v>300</v>
      </c>
      <c r="G46" s="102">
        <v>900</v>
      </c>
      <c r="H46" s="101">
        <v>100</v>
      </c>
      <c r="I46" s="102">
        <v>300</v>
      </c>
      <c r="J46" s="101"/>
      <c r="K46" s="103"/>
      <c r="L46" s="104">
        <v>200</v>
      </c>
    </row>
    <row r="47" spans="2:12" ht="24" customHeight="1" thickBot="1">
      <c r="B47" s="31">
        <v>2</v>
      </c>
      <c r="C47" s="25" t="s">
        <v>43</v>
      </c>
      <c r="D47" s="26" t="s">
        <v>42</v>
      </c>
      <c r="E47" s="26">
        <v>3</v>
      </c>
      <c r="F47" s="101">
        <v>200</v>
      </c>
      <c r="G47" s="102">
        <v>600</v>
      </c>
      <c r="H47" s="101">
        <v>200</v>
      </c>
      <c r="I47" s="102">
        <v>600</v>
      </c>
      <c r="J47" s="101"/>
      <c r="K47" s="103"/>
      <c r="L47" s="104">
        <v>200</v>
      </c>
    </row>
    <row r="48" spans="2:12" ht="24" customHeight="1" thickBot="1">
      <c r="B48" s="24">
        <v>3</v>
      </c>
      <c r="C48" s="25" t="s">
        <v>44</v>
      </c>
      <c r="D48" s="26" t="s">
        <v>42</v>
      </c>
      <c r="E48" s="26">
        <v>2</v>
      </c>
      <c r="F48" s="101">
        <v>150</v>
      </c>
      <c r="G48" s="102">
        <v>300</v>
      </c>
      <c r="H48" s="101">
        <v>200</v>
      </c>
      <c r="I48" s="102">
        <v>400</v>
      </c>
      <c r="J48" s="101"/>
      <c r="K48" s="103"/>
      <c r="L48" s="104">
        <v>175</v>
      </c>
    </row>
    <row r="49" spans="2:12" ht="24" customHeight="1" thickBot="1">
      <c r="B49" s="31">
        <v>4</v>
      </c>
      <c r="C49" s="25"/>
      <c r="D49" s="26"/>
      <c r="E49" s="26"/>
      <c r="F49" s="27"/>
      <c r="G49" s="28">
        <f>F49*E49</f>
        <v>0</v>
      </c>
      <c r="H49" s="27"/>
      <c r="I49" s="28">
        <f>H49*E49</f>
        <v>0</v>
      </c>
      <c r="J49" s="27"/>
      <c r="K49" s="29"/>
      <c r="L49" s="30">
        <f>(F49+H49+J49)/2</f>
        <v>0</v>
      </c>
    </row>
    <row r="50" spans="2:12" ht="12" customHeight="1" thickBot="1">
      <c r="B50" s="152"/>
      <c r="C50" s="125"/>
      <c r="D50" s="126"/>
      <c r="E50" s="32"/>
      <c r="F50" s="33" t="s">
        <v>45</v>
      </c>
      <c r="G50" s="102">
        <v>1800</v>
      </c>
      <c r="H50" s="34" t="s">
        <v>45</v>
      </c>
      <c r="I50" s="102">
        <v>1300</v>
      </c>
      <c r="J50" s="33" t="s">
        <v>45</v>
      </c>
      <c r="K50" s="102"/>
      <c r="L50" s="150">
        <f>(G50+I50)/2</f>
        <v>1550</v>
      </c>
    </row>
    <row r="51" spans="2:12" ht="15" customHeight="1" thickBot="1">
      <c r="B51" s="122"/>
      <c r="C51" s="131"/>
      <c r="D51" s="115"/>
      <c r="E51" s="35"/>
      <c r="F51" s="36" t="s">
        <v>46</v>
      </c>
      <c r="G51" s="105">
        <v>288</v>
      </c>
      <c r="H51" s="37"/>
      <c r="I51" s="105">
        <v>208</v>
      </c>
      <c r="J51" s="36"/>
      <c r="K51" s="105"/>
      <c r="L51" s="151"/>
    </row>
    <row r="52" spans="2:12" ht="15" customHeight="1" thickBot="1">
      <c r="B52" s="123"/>
      <c r="C52" s="119"/>
      <c r="D52" s="120"/>
      <c r="E52" s="38"/>
      <c r="F52" s="39" t="s">
        <v>47</v>
      </c>
      <c r="G52" s="106">
        <v>2088</v>
      </c>
      <c r="H52" s="40" t="s">
        <v>47</v>
      </c>
      <c r="I52" s="106">
        <v>1508</v>
      </c>
      <c r="J52" s="39" t="s">
        <v>47</v>
      </c>
      <c r="K52" s="106"/>
      <c r="L52" s="107">
        <v>1798</v>
      </c>
    </row>
    <row r="53" spans="2:12" ht="6" customHeight="1" thickBot="1">
      <c r="B53" s="41"/>
      <c r="C53" s="42"/>
      <c r="D53" s="42"/>
      <c r="E53" s="43"/>
      <c r="F53" s="44"/>
      <c r="G53" s="45"/>
      <c r="H53" s="46"/>
      <c r="I53" s="45"/>
      <c r="J53" s="46"/>
      <c r="K53" s="47"/>
      <c r="L53" s="48"/>
    </row>
    <row r="54" spans="2:12" ht="15" customHeight="1" thickBot="1">
      <c r="B54" s="117" t="s">
        <v>15</v>
      </c>
      <c r="C54" s="117" t="s">
        <v>48</v>
      </c>
      <c r="D54" s="125"/>
      <c r="E54" s="125"/>
      <c r="F54" s="126"/>
      <c r="G54" s="160" t="s">
        <v>49</v>
      </c>
      <c r="H54" s="111"/>
      <c r="I54" s="111"/>
      <c r="J54" s="111"/>
      <c r="K54" s="111"/>
      <c r="L54" s="112"/>
    </row>
    <row r="55" spans="2:12" ht="32.450000000000003" customHeight="1" thickBot="1">
      <c r="B55" s="127"/>
      <c r="C55" s="123"/>
      <c r="D55" s="119"/>
      <c r="E55" s="119"/>
      <c r="F55" s="120"/>
      <c r="G55" s="117" t="str">
        <f>F43</f>
        <v>Gabriel Lopez Crisostomo</v>
      </c>
      <c r="H55" s="112"/>
      <c r="I55" s="155" t="str">
        <f>H43</f>
        <v>Santiago Lopez Cruz</v>
      </c>
      <c r="J55" s="112"/>
      <c r="K55" s="137">
        <f>J43</f>
        <v>0</v>
      </c>
      <c r="L55" s="112"/>
    </row>
    <row r="56" spans="2:12" ht="50.45" customHeight="1" thickBot="1">
      <c r="B56" s="87" t="s">
        <v>50</v>
      </c>
      <c r="C56" s="129" t="s">
        <v>51</v>
      </c>
      <c r="D56" s="111"/>
      <c r="E56" s="111"/>
      <c r="F56" s="112"/>
      <c r="G56" s="110"/>
      <c r="H56" s="112"/>
      <c r="I56" s="110"/>
      <c r="J56" s="112"/>
      <c r="K56" s="110">
        <f>J38</f>
        <v>0</v>
      </c>
      <c r="L56" s="112"/>
    </row>
    <row r="57" spans="2:12" ht="32.450000000000003" customHeight="1" thickBot="1">
      <c r="B57" s="87" t="s">
        <v>52</v>
      </c>
      <c r="C57" s="129" t="s">
        <v>53</v>
      </c>
      <c r="D57" s="111"/>
      <c r="E57" s="111"/>
      <c r="F57" s="112"/>
      <c r="G57" s="110"/>
      <c r="H57" s="112"/>
      <c r="I57" s="110"/>
      <c r="J57" s="112"/>
      <c r="K57" s="110">
        <f>K56</f>
        <v>0</v>
      </c>
      <c r="L57" s="112"/>
    </row>
    <row r="58" spans="2:12" ht="45" customHeight="1" thickBot="1">
      <c r="B58" s="87" t="s">
        <v>54</v>
      </c>
      <c r="C58" s="129" t="s">
        <v>55</v>
      </c>
      <c r="D58" s="111"/>
      <c r="E58" s="111"/>
      <c r="F58" s="112"/>
      <c r="G58" s="110"/>
      <c r="H58" s="112"/>
      <c r="I58" s="110"/>
      <c r="J58" s="112"/>
      <c r="K58" s="110">
        <f>K57</f>
        <v>0</v>
      </c>
      <c r="L58" s="112"/>
    </row>
    <row r="59" spans="2:12" ht="112.5" customHeight="1" thickBot="1">
      <c r="B59" s="158" t="s">
        <v>56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2"/>
    </row>
    <row r="60" spans="2:12" ht="9.6" customHeight="1" thickBot="1">
      <c r="B60" s="49"/>
      <c r="C60" s="97"/>
      <c r="D60" s="97"/>
      <c r="E60" s="97"/>
      <c r="F60" s="97"/>
      <c r="G60" s="97"/>
      <c r="H60" s="97"/>
      <c r="I60" s="97"/>
      <c r="J60" s="97"/>
      <c r="K60" s="97"/>
      <c r="L60" s="50"/>
    </row>
    <row r="61" spans="2:12" ht="16.149999999999999" customHeight="1" thickBot="1">
      <c r="B61" s="145" t="s">
        <v>57</v>
      </c>
      <c r="C61" s="111"/>
      <c r="D61" s="111"/>
      <c r="E61" s="111"/>
      <c r="F61" s="111"/>
      <c r="G61" s="111"/>
      <c r="H61" s="108">
        <f>I52</f>
        <v>1508</v>
      </c>
      <c r="I61" s="140" t="s">
        <v>58</v>
      </c>
      <c r="J61" s="111"/>
      <c r="K61" s="111"/>
      <c r="L61" s="112"/>
    </row>
    <row r="62" spans="2:12" ht="12.6" customHeight="1">
      <c r="B62" s="92"/>
      <c r="C62" s="93"/>
      <c r="D62" s="93"/>
      <c r="E62" s="93"/>
      <c r="F62" s="93"/>
      <c r="G62" s="93"/>
      <c r="H62" s="93"/>
      <c r="I62" s="93"/>
      <c r="J62" s="93"/>
      <c r="K62" s="93"/>
      <c r="L62" s="94"/>
    </row>
    <row r="63" spans="2:12" ht="25.9" customHeight="1">
      <c r="B63" s="135" t="s">
        <v>59</v>
      </c>
      <c r="C63" s="131"/>
      <c r="D63" s="132"/>
      <c r="E63" s="131"/>
      <c r="F63" s="131"/>
      <c r="G63" s="114"/>
      <c r="H63" s="133"/>
      <c r="I63" s="133"/>
      <c r="J63" s="114"/>
      <c r="K63" s="114"/>
      <c r="L63" s="115"/>
    </row>
    <row r="64" spans="2:12" ht="20.45" customHeight="1">
      <c r="B64" s="130" t="s">
        <v>60</v>
      </c>
      <c r="C64" s="131"/>
      <c r="D64" s="132"/>
      <c r="E64" s="131"/>
      <c r="F64" s="131"/>
      <c r="G64" s="114"/>
      <c r="H64" s="133"/>
      <c r="I64" s="133"/>
      <c r="J64" s="114"/>
      <c r="K64" s="114"/>
      <c r="L64" s="115"/>
    </row>
    <row r="65" spans="2:12" ht="7.9" customHeight="1" thickBot="1"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4"/>
    </row>
    <row r="66" spans="2:12" ht="19.899999999999999" customHeight="1" thickBot="1">
      <c r="B66" s="51" t="s">
        <v>61</v>
      </c>
      <c r="C66" s="162" t="s">
        <v>22</v>
      </c>
      <c r="D66" s="111"/>
      <c r="E66" s="112"/>
      <c r="F66" s="51" t="s">
        <v>62</v>
      </c>
      <c r="G66" s="95" t="s">
        <v>63</v>
      </c>
      <c r="H66" s="51" t="s">
        <v>64</v>
      </c>
      <c r="I66" s="110" t="s">
        <v>65</v>
      </c>
      <c r="J66" s="111"/>
      <c r="K66" s="111"/>
      <c r="L66" s="112"/>
    </row>
    <row r="67" spans="2:12" ht="6.6" customHeight="1">
      <c r="B67" s="52"/>
      <c r="C67" s="53"/>
      <c r="D67" s="53"/>
      <c r="E67" s="53"/>
      <c r="F67" s="93"/>
      <c r="G67" s="93"/>
      <c r="H67" s="93"/>
      <c r="I67" s="53"/>
      <c r="J67" s="53"/>
      <c r="K67" s="53"/>
      <c r="L67" s="54"/>
    </row>
    <row r="68" spans="2:12" ht="30" customHeight="1" thickBot="1">
      <c r="B68" s="130" t="s">
        <v>66</v>
      </c>
      <c r="C68" s="131"/>
      <c r="D68" s="132"/>
      <c r="E68" s="131"/>
      <c r="F68" s="131"/>
      <c r="G68" s="114"/>
      <c r="H68" s="133"/>
      <c r="I68" s="133"/>
      <c r="J68" s="114"/>
      <c r="K68" s="114"/>
      <c r="L68" s="115"/>
    </row>
    <row r="69" spans="2:12" s="98" customFormat="1" ht="14.45" customHeight="1" thickBot="1">
      <c r="B69" s="141" t="s">
        <v>67</v>
      </c>
      <c r="C69" s="111"/>
      <c r="D69" s="112"/>
      <c r="E69" s="109">
        <f>H61</f>
        <v>1508</v>
      </c>
      <c r="F69" s="110" t="str">
        <f>I61</f>
        <v>MIL QUINIENTOS OCHO PESOS 00/100 M.N.</v>
      </c>
      <c r="G69" s="111"/>
      <c r="H69" s="111"/>
      <c r="I69" s="111"/>
      <c r="J69" s="111"/>
      <c r="K69" s="111"/>
      <c r="L69" s="112"/>
    </row>
    <row r="70" spans="2:12" ht="7.9" customHeight="1" thickBot="1">
      <c r="B70" s="52"/>
      <c r="C70" s="53"/>
      <c r="D70" s="53"/>
      <c r="E70" s="53"/>
      <c r="F70" s="93"/>
      <c r="G70" s="93"/>
      <c r="H70" s="93"/>
      <c r="I70" s="53"/>
      <c r="J70" s="53"/>
      <c r="K70" s="53"/>
      <c r="L70" s="54"/>
    </row>
    <row r="71" spans="2:12" ht="42.75" customHeight="1">
      <c r="B71" s="148" t="s">
        <v>68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6"/>
    </row>
    <row r="72" spans="2:12" ht="12.6" customHeight="1" thickBot="1">
      <c r="B72" s="144" t="s">
        <v>69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20"/>
    </row>
    <row r="73" spans="2:12" ht="7.9" customHeight="1" thickBot="1">
      <c r="B73" s="92"/>
      <c r="C73" s="93"/>
      <c r="D73" s="93"/>
      <c r="E73" s="93"/>
      <c r="F73" s="93"/>
      <c r="G73" s="93"/>
      <c r="H73" s="93"/>
      <c r="I73" s="93"/>
      <c r="J73" s="93"/>
      <c r="K73" s="93"/>
      <c r="L73" s="94"/>
    </row>
    <row r="74" spans="2:12" ht="34.15" customHeight="1" thickBot="1">
      <c r="B74" s="148" t="s">
        <v>70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6"/>
    </row>
    <row r="75" spans="2:12" ht="33" customHeight="1" thickBot="1">
      <c r="B75" s="51" t="s">
        <v>61</v>
      </c>
      <c r="C75" s="110" t="str">
        <f>C66</f>
        <v>Santiago Lopez Cruz</v>
      </c>
      <c r="D75" s="111"/>
      <c r="E75" s="112"/>
      <c r="F75" s="51" t="s">
        <v>62</v>
      </c>
      <c r="G75" s="88" t="str">
        <f>G66</f>
        <v>HSG782HS</v>
      </c>
      <c r="H75" s="51" t="s">
        <v>64</v>
      </c>
      <c r="I75" s="110" t="str">
        <f>I66</f>
        <v>SAN JUAN COAJOMULCO</v>
      </c>
      <c r="J75" s="111"/>
      <c r="K75" s="111"/>
      <c r="L75" s="112"/>
    </row>
    <row r="76" spans="2:12" s="98" customFormat="1" ht="27" customHeight="1" thickBot="1">
      <c r="B76" s="141" t="s">
        <v>71</v>
      </c>
      <c r="C76" s="111"/>
      <c r="D76" s="112"/>
      <c r="E76" s="109">
        <f>E69</f>
        <v>1508</v>
      </c>
      <c r="F76" s="110" t="str">
        <f>F69</f>
        <v>MIL QUINIENTOS OCHO PESOS 00/100 M.N.</v>
      </c>
      <c r="G76" s="111"/>
      <c r="H76" s="111"/>
      <c r="I76" s="111"/>
      <c r="J76" s="111"/>
      <c r="K76" s="111"/>
      <c r="L76" s="112"/>
    </row>
    <row r="77" spans="2:12" s="98" customFormat="1" ht="14.45" customHeight="1" thickBot="1">
      <c r="B77" s="117" t="s">
        <v>72</v>
      </c>
      <c r="C77" s="112"/>
      <c r="D77" s="110" t="s">
        <v>7</v>
      </c>
      <c r="E77" s="111"/>
      <c r="F77" s="111"/>
      <c r="G77" s="111"/>
      <c r="H77" s="112"/>
      <c r="I77" s="117" t="s">
        <v>73</v>
      </c>
      <c r="J77" s="111"/>
      <c r="K77" s="112"/>
      <c r="L77" s="55" t="s">
        <v>9</v>
      </c>
    </row>
    <row r="78" spans="2:12" ht="26.45" customHeight="1" thickBot="1">
      <c r="B78" s="110" t="s">
        <v>10</v>
      </c>
      <c r="C78" s="112"/>
      <c r="D78" s="116" t="s">
        <v>11</v>
      </c>
      <c r="E78" s="111"/>
      <c r="F78" s="111"/>
      <c r="G78" s="111"/>
      <c r="H78" s="111"/>
      <c r="I78" s="111"/>
      <c r="J78" s="111"/>
      <c r="K78" s="111"/>
      <c r="L78" s="112"/>
    </row>
    <row r="79" spans="2:12" ht="9" customHeight="1" thickBot="1">
      <c r="B79" s="9"/>
      <c r="D79" s="1"/>
      <c r="J79" s="3"/>
      <c r="K79" s="56"/>
      <c r="L79" s="99"/>
    </row>
    <row r="80" spans="2:12" ht="30" customHeight="1" thickBot="1">
      <c r="B80" s="129" t="s">
        <v>74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2"/>
    </row>
    <row r="81" spans="2:12" ht="10.15" customHeight="1" thickBot="1">
      <c r="B81" s="9"/>
      <c r="D81" s="1"/>
      <c r="J81" s="3"/>
      <c r="K81" s="56"/>
      <c r="L81" s="99"/>
    </row>
    <row r="82" spans="2:12" ht="12" customHeight="1">
      <c r="B82" s="136" t="s">
        <v>75</v>
      </c>
      <c r="C82" s="125"/>
      <c r="D82" s="126"/>
      <c r="E82" s="136" t="s">
        <v>76</v>
      </c>
      <c r="F82" s="125"/>
      <c r="G82" s="125"/>
      <c r="H82" s="125"/>
      <c r="I82" s="126"/>
      <c r="J82" s="136" t="s">
        <v>77</v>
      </c>
      <c r="K82" s="125"/>
      <c r="L82" s="126"/>
    </row>
    <row r="83" spans="2:12" ht="21" customHeight="1">
      <c r="B83" s="121" t="s">
        <v>78</v>
      </c>
      <c r="C83" s="131"/>
      <c r="D83" s="115"/>
      <c r="E83" s="113" t="s">
        <v>79</v>
      </c>
      <c r="F83" s="131"/>
      <c r="G83" s="114"/>
      <c r="H83" s="133"/>
      <c r="I83" s="115"/>
      <c r="J83" s="113" t="s">
        <v>80</v>
      </c>
      <c r="K83" s="114"/>
      <c r="L83" s="115"/>
    </row>
    <row r="84" spans="2:12" ht="27" customHeight="1" thickBot="1">
      <c r="B84" s="123"/>
      <c r="C84" s="119"/>
      <c r="D84" s="120"/>
      <c r="E84" s="134" t="s">
        <v>81</v>
      </c>
      <c r="F84" s="119"/>
      <c r="G84" s="119"/>
      <c r="H84" s="119"/>
      <c r="I84" s="120"/>
      <c r="J84" s="134" t="s">
        <v>82</v>
      </c>
      <c r="K84" s="119"/>
      <c r="L84" s="120"/>
    </row>
    <row r="85" spans="2:12" ht="14.25">
      <c r="B85" s="156" t="s">
        <v>83</v>
      </c>
      <c r="C85" s="125"/>
      <c r="D85" s="125"/>
      <c r="E85" s="125"/>
      <c r="F85" s="125"/>
      <c r="G85" s="125"/>
      <c r="H85" s="125"/>
      <c r="I85" s="125"/>
      <c r="J85" s="125"/>
      <c r="K85" s="125"/>
      <c r="L85" s="125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58" customWidth="1"/>
    <col min="2" max="2" width="38.75" style="60" bestFit="1" customWidth="1"/>
    <col min="3" max="3" width="10.375" style="60" bestFit="1" customWidth="1"/>
    <col min="4" max="4" width="8.75" style="61" customWidth="1"/>
    <col min="5" max="5" width="10.25" style="61" bestFit="1" customWidth="1"/>
    <col min="6" max="6" width="11.625" style="57" customWidth="1"/>
    <col min="7" max="16384" width="11.625" style="57"/>
  </cols>
  <sheetData>
    <row r="5" spans="1:5" ht="18" customHeight="1">
      <c r="A5" s="179"/>
      <c r="B5" s="169"/>
      <c r="C5" s="169"/>
      <c r="D5" s="170"/>
      <c r="E5" s="170"/>
    </row>
    <row r="6" spans="1:5" ht="16.5" customHeight="1">
      <c r="A6" s="173"/>
      <c r="B6" s="169"/>
      <c r="C6" s="169"/>
      <c r="D6" s="170"/>
      <c r="E6" s="170"/>
    </row>
    <row r="7" spans="1:5">
      <c r="B7" s="58"/>
      <c r="C7" s="58"/>
      <c r="D7" s="58"/>
      <c r="E7" s="58"/>
    </row>
    <row r="8" spans="1:5" ht="13.5">
      <c r="A8" s="59"/>
      <c r="B8" s="177" t="s">
        <v>84</v>
      </c>
      <c r="C8" s="169"/>
      <c r="D8" s="183" t="s">
        <v>85</v>
      </c>
      <c r="E8" s="170"/>
    </row>
    <row r="9" spans="1:5">
      <c r="A9" s="59"/>
      <c r="B9" s="59"/>
      <c r="C9" s="59"/>
      <c r="D9" s="59"/>
      <c r="E9" s="59"/>
    </row>
    <row r="10" spans="1:5">
      <c r="A10" s="171" t="s">
        <v>86</v>
      </c>
      <c r="B10" s="169"/>
      <c r="C10" s="169"/>
      <c r="D10" s="170"/>
      <c r="E10" s="170"/>
    </row>
    <row r="11" spans="1:5">
      <c r="A11" s="171" t="s">
        <v>79</v>
      </c>
      <c r="B11" s="169"/>
      <c r="C11" s="169"/>
      <c r="D11" s="170"/>
      <c r="E11" s="170"/>
    </row>
    <row r="12" spans="1:5">
      <c r="A12" s="171" t="s">
        <v>81</v>
      </c>
      <c r="B12" s="169"/>
      <c r="C12" s="169"/>
      <c r="D12" s="170"/>
      <c r="E12" s="170"/>
    </row>
    <row r="13" spans="1:5" ht="13.5">
      <c r="A13" s="184" t="s">
        <v>87</v>
      </c>
      <c r="B13" s="169"/>
      <c r="C13" s="169"/>
      <c r="D13" s="170"/>
      <c r="E13" s="170"/>
    </row>
    <row r="14" spans="1:5" ht="13.5" customHeight="1">
      <c r="A14" s="172" t="s">
        <v>88</v>
      </c>
      <c r="B14" s="169"/>
      <c r="C14" s="169"/>
      <c r="D14" s="170"/>
      <c r="E14" s="170"/>
    </row>
    <row r="15" spans="1:5">
      <c r="B15" s="58"/>
      <c r="C15" s="58"/>
      <c r="D15" s="58"/>
      <c r="E15" s="58"/>
    </row>
    <row r="16" spans="1:5" ht="13.5">
      <c r="A16" s="174" t="s">
        <v>89</v>
      </c>
      <c r="B16" s="169"/>
      <c r="C16" s="169"/>
      <c r="D16" s="170"/>
      <c r="E16" s="170"/>
    </row>
    <row r="18" spans="1:8" ht="25.5" customHeight="1">
      <c r="A18" s="62" t="s">
        <v>36</v>
      </c>
      <c r="B18" s="62" t="s">
        <v>90</v>
      </c>
      <c r="C18" s="62" t="s">
        <v>37</v>
      </c>
      <c r="D18" s="63" t="s">
        <v>91</v>
      </c>
      <c r="E18" s="63" t="s">
        <v>39</v>
      </c>
    </row>
    <row r="19" spans="1:8" ht="23.25" customHeight="1">
      <c r="A19" s="64"/>
      <c r="B19" s="65" t="str">
        <f>Hoja1!C46</f>
        <v>SERVICIO DE EXTRACCION</v>
      </c>
      <c r="C19" s="64"/>
      <c r="D19" s="66">
        <f>Hoja1!F46</f>
        <v>300</v>
      </c>
      <c r="E19" s="66">
        <f>C19*D19</f>
        <v>0</v>
      </c>
    </row>
    <row r="20" spans="1:8">
      <c r="A20" s="64"/>
      <c r="B20" s="65" t="str">
        <f>Hoja1!C47</f>
        <v>SERVICIO DE MANEJO</v>
      </c>
      <c r="C20" s="64"/>
      <c r="D20" s="66">
        <f>Hoja1!F47</f>
        <v>200</v>
      </c>
      <c r="E20" s="66">
        <f>C20*D20</f>
        <v>0</v>
      </c>
    </row>
    <row r="21" spans="1:8" ht="26.25" customHeight="1">
      <c r="A21" s="64"/>
      <c r="B21" s="65" t="str">
        <f>Hoja1!C48</f>
        <v>SERVICIO DE CONSUMO</v>
      </c>
      <c r="C21" s="64"/>
      <c r="D21" s="66">
        <f>Hoja1!F48</f>
        <v>150</v>
      </c>
      <c r="E21" s="66">
        <f>C21*D21</f>
        <v>0</v>
      </c>
    </row>
    <row r="22" spans="1:8">
      <c r="A22" s="64"/>
      <c r="B22" s="65">
        <f>Hoja1!C49</f>
        <v>0</v>
      </c>
      <c r="C22" s="64"/>
      <c r="D22" s="66">
        <f>Hoja1!F49</f>
        <v>0</v>
      </c>
      <c r="E22" s="66">
        <f>C22*D22</f>
        <v>0</v>
      </c>
    </row>
    <row r="23" spans="1:8" ht="14.25">
      <c r="A23" s="180" t="s">
        <v>92</v>
      </c>
      <c r="B23" s="181"/>
      <c r="C23" s="67"/>
      <c r="D23" s="68" t="s">
        <v>45</v>
      </c>
      <c r="E23" s="69">
        <f>SUM(E19:E22)</f>
        <v>0</v>
      </c>
    </row>
    <row r="24" spans="1:8">
      <c r="A24" s="175" t="s">
        <v>93</v>
      </c>
      <c r="B24" s="169"/>
      <c r="C24" s="169"/>
      <c r="D24" s="68" t="s">
        <v>46</v>
      </c>
      <c r="E24" s="69"/>
      <c r="H24" s="70"/>
    </row>
    <row r="25" spans="1:8">
      <c r="A25" s="176"/>
      <c r="B25" s="169"/>
      <c r="C25" s="169"/>
      <c r="D25" s="68" t="s">
        <v>47</v>
      </c>
      <c r="E25" s="71">
        <f>SUM(E23:E24)</f>
        <v>0</v>
      </c>
    </row>
    <row r="27" spans="1:8" ht="13.5" customHeight="1">
      <c r="A27" s="178" t="s">
        <v>94</v>
      </c>
      <c r="B27" s="169"/>
      <c r="C27" s="169"/>
      <c r="D27" s="170"/>
      <c r="E27" s="170"/>
    </row>
    <row r="28" spans="1:8" ht="13.5" customHeight="1">
      <c r="A28" s="72"/>
      <c r="B28" s="72"/>
      <c r="C28" s="73"/>
      <c r="D28" s="74"/>
      <c r="E28" s="74"/>
    </row>
    <row r="29" spans="1:8" ht="13.5" customHeight="1">
      <c r="A29" s="75" t="s">
        <v>95</v>
      </c>
      <c r="B29" s="75"/>
      <c r="C29" s="73"/>
      <c r="D29" s="74"/>
      <c r="E29" s="74"/>
    </row>
    <row r="30" spans="1:8" ht="27" customHeight="1">
      <c r="A30" s="168"/>
      <c r="B30" s="169"/>
      <c r="C30" s="169"/>
      <c r="D30" s="170"/>
      <c r="E30" s="170"/>
    </row>
    <row r="31" spans="1:8" ht="13.5" customHeight="1">
      <c r="A31" s="182" t="s">
        <v>54</v>
      </c>
      <c r="B31" s="169"/>
      <c r="C31" s="73"/>
      <c r="D31" s="74"/>
      <c r="E31" s="74"/>
    </row>
    <row r="32" spans="1:8" ht="55.5" customHeight="1">
      <c r="A32" s="168"/>
      <c r="B32" s="169"/>
      <c r="C32" s="169"/>
      <c r="D32" s="170"/>
      <c r="E32" s="170"/>
    </row>
    <row r="33" spans="1:5" ht="13.5" customHeight="1">
      <c r="A33" s="75" t="s">
        <v>96</v>
      </c>
      <c r="B33" s="73"/>
      <c r="C33" s="73"/>
      <c r="D33" s="74"/>
      <c r="E33" s="74"/>
    </row>
    <row r="34" spans="1:5" ht="13.5" customHeight="1">
      <c r="A34" s="168" t="s">
        <v>97</v>
      </c>
      <c r="B34" s="169"/>
      <c r="C34" s="169"/>
      <c r="D34" s="170"/>
      <c r="E34" s="170"/>
    </row>
    <row r="35" spans="1:5" ht="13.5" customHeight="1">
      <c r="A35" s="182" t="s">
        <v>98</v>
      </c>
      <c r="B35" s="169"/>
      <c r="C35" s="73"/>
      <c r="D35" s="74"/>
      <c r="E35" s="74"/>
    </row>
    <row r="36" spans="1:5" ht="13.5" customHeight="1">
      <c r="A36" s="172" t="s">
        <v>99</v>
      </c>
      <c r="B36" s="169"/>
      <c r="C36" s="169"/>
      <c r="D36" s="170"/>
      <c r="E36" s="170"/>
    </row>
    <row r="37" spans="1:5" ht="13.5" customHeight="1">
      <c r="A37" s="72"/>
      <c r="B37" s="73"/>
      <c r="C37" s="73"/>
      <c r="D37" s="74"/>
      <c r="E37" s="74"/>
    </row>
    <row r="38" spans="1:5" ht="13.5" customHeight="1">
      <c r="A38" s="172" t="s">
        <v>100</v>
      </c>
      <c r="B38" s="169"/>
      <c r="C38" s="169"/>
      <c r="D38" s="170"/>
      <c r="E38" s="170"/>
    </row>
    <row r="39" spans="1:5" ht="13.5" customHeight="1">
      <c r="A39" s="72"/>
      <c r="B39" s="73"/>
      <c r="C39" s="73"/>
      <c r="D39" s="74"/>
      <c r="E39" s="74"/>
    </row>
    <row r="40" spans="1:5" ht="13.5" customHeight="1">
      <c r="A40" s="72"/>
      <c r="B40" s="100" t="s">
        <v>101</v>
      </c>
      <c r="C40" s="73"/>
      <c r="D40" s="74"/>
      <c r="E40" s="74"/>
    </row>
    <row r="41" spans="1:5" ht="26.25" customHeight="1">
      <c r="A41" s="72"/>
      <c r="B41" s="76"/>
      <c r="C41" s="73"/>
      <c r="D41" s="74"/>
      <c r="E41" s="74"/>
    </row>
    <row r="42" spans="1:5">
      <c r="A42" s="77"/>
      <c r="B42" s="78"/>
      <c r="C42" s="78"/>
      <c r="D42" s="79"/>
      <c r="E42" s="79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2026-08-31T22:58:12Z</dcterms:modified>
</cp:coreProperties>
</file>