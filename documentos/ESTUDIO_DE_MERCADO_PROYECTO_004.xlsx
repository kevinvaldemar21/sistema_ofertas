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[$-80A]d&quot; de &quot;mmmm&quot; de &quot;yyyy;@"/>
    <numFmt numFmtId="166" formatCode="dd/mm/yyyy"/>
    <numFmt numFmtId="167" formatCode="$#,##0.00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sz val="8"/>
      <scheme val="minor"/>
    </font>
    <font>
      <name val="Aptos Narrow"/>
      <family val="2"/>
      <color indexed="8"/>
      <sz val="8"/>
      <scheme val="minor"/>
    </font>
    <font>
      <name val="Calibri"/>
      <family val="2"/>
      <color rgb="FF000000"/>
      <sz val="8"/>
    </font>
    <font>
      <name val="Aptos Narrow"/>
      <family val="2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color theme="1"/>
      <sz val="14"/>
    </font>
    <font>
      <name val="Arial Narrow"/>
      <family val="2"/>
      <color theme="1"/>
      <sz val="11"/>
    </font>
    <font>
      <name val="Arial Narrow"/>
      <family val="2"/>
      <color theme="1"/>
      <sz val="8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i val="1"/>
      <color theme="1"/>
      <sz val="8"/>
    </font>
    <font>
      <name val="Arial Narrow"/>
      <family val="2"/>
      <i val="1"/>
      <color theme="1"/>
      <sz val="8"/>
    </font>
    <font>
      <name val="Arial Narrow"/>
      <family val="2"/>
      <b val="1"/>
      <color theme="1"/>
      <sz val="9"/>
    </font>
    <font>
      <name val="Arial Narrow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8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164" fontId="3" fillId="0" borderId="5" applyAlignment="1" pivotButton="0" quotePrefix="0" xfId="0">
      <alignment horizont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164" fontId="3" fillId="3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vertical="center" wrapText="1"/>
    </xf>
    <xf numFmtId="0" fontId="8" fillId="4" borderId="9" applyAlignment="1" pivotButton="0" quotePrefix="0" xfId="0">
      <alignment horizontal="center" vertical="center" wrapText="1"/>
    </xf>
    <xf numFmtId="164" fontId="2" fillId="4" borderId="9" applyAlignment="1" pivotButton="0" quotePrefix="0" xfId="1">
      <alignment horizontal="right" vertical="center" wrapText="1"/>
    </xf>
    <xf numFmtId="164" fontId="2" fillId="4" borderId="9" applyAlignment="1" pivotButton="0" quotePrefix="0" xfId="0">
      <alignment horizontal="right" vertical="center" wrapText="1"/>
    </xf>
    <xf numFmtId="164" fontId="9" fillId="4" borderId="9" applyAlignment="1" pivotButton="0" quotePrefix="0" xfId="2">
      <alignment horizontal="right" vertical="center" wrapText="1"/>
    </xf>
    <xf numFmtId="164" fontId="2" fillId="4" borderId="9" applyAlignment="1" pivotButton="0" quotePrefix="0" xfId="0">
      <alignment vertical="center" wrapText="1"/>
    </xf>
    <xf numFmtId="1" fontId="7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4" borderId="15" applyAlignment="1" pivotButton="0" quotePrefix="0" xfId="0">
      <alignment horizontal="right" vertical="center" wrapText="1"/>
    </xf>
    <xf numFmtId="164" fontId="2" fillId="4" borderId="15" applyAlignment="1" pivotButton="0" quotePrefix="0" xfId="0">
      <alignment horizontal="right" vertical="center" wrapText="1"/>
    </xf>
    <xf numFmtId="0" fontId="2" fillId="4" borderId="0" applyAlignment="1" pivotButton="0" quotePrefix="0" xfId="0">
      <alignment vertical="center" wrapText="1"/>
    </xf>
    <xf numFmtId="0" fontId="2" fillId="4" borderId="16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right" vertical="center" wrapText="1"/>
    </xf>
    <xf numFmtId="164" fontId="2" fillId="4" borderId="16" applyAlignment="1" pivotButton="0" quotePrefix="0" xfId="0">
      <alignment horizontal="right" vertical="center" wrapText="1"/>
    </xf>
    <xf numFmtId="0" fontId="2" fillId="4" borderId="11" applyAlignment="1" pivotButton="0" quotePrefix="0" xfId="0">
      <alignment vertical="center" wrapText="1"/>
    </xf>
    <xf numFmtId="0" fontId="2" fillId="4" borderId="18" applyAlignment="1" pivotButton="0" quotePrefix="0" xfId="0">
      <alignment horizontal="right" vertical="center" wrapText="1"/>
    </xf>
    <xf numFmtId="164" fontId="3" fillId="4" borderId="9" applyAlignment="1" pivotButton="0" quotePrefix="0" xfId="2">
      <alignment horizontal="right" vertical="center" wrapText="1"/>
    </xf>
    <xf numFmtId="164" fontId="2" fillId="4" borderId="18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right" vertical="center" wrapText="1"/>
    </xf>
    <xf numFmtId="164" fontId="3" fillId="0" borderId="8" applyAlignment="1" pivotButton="0" quotePrefix="0" xfId="2">
      <alignment horizontal="right" wrapText="1"/>
    </xf>
    <xf numFmtId="164" fontId="2" fillId="0" borderId="11" applyAlignment="1" pivotButton="0" quotePrefix="0" xfId="0">
      <alignment horizontal="right" vertical="center" wrapText="1"/>
    </xf>
    <xf numFmtId="164" fontId="2" fillId="0" borderId="8" applyAlignment="1" pivotButton="0" quotePrefix="0" xfId="0">
      <alignment horizontal="right" wrapText="1"/>
    </xf>
    <xf numFmtId="164" fontId="3" fillId="0" borderId="12" applyAlignment="1" pivotButton="0" quotePrefix="0" xfId="2">
      <alignment horizontal="center" wrapText="1"/>
    </xf>
    <xf numFmtId="0" fontId="2" fillId="0" borderId="1" applyAlignment="1" pivotButton="0" quotePrefix="0" xfId="0">
      <alignment horizontal="right" wrapText="1"/>
    </xf>
    <xf numFmtId="0" fontId="2" fillId="0" borderId="3" applyAlignment="1" pivotButton="0" quotePrefix="0" xfId="0">
      <alignment horizontal="right" wrapText="1"/>
    </xf>
    <xf numFmtId="164" fontId="3" fillId="0" borderId="8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5" borderId="9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164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49" fontId="2" fillId="0" borderId="9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right" wrapText="1"/>
    </xf>
    <xf numFmtId="0" fontId="2" fillId="0" borderId="5" applyAlignment="1" pivotButton="0" quotePrefix="0" xfId="0">
      <alignment horizontal="center" wrapText="1"/>
    </xf>
    <xf numFmtId="0" fontId="2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4" fillId="0" borderId="0" pivotButton="0" quotePrefix="0" xfId="0"/>
    <xf numFmtId="164" fontId="14" fillId="0" borderId="0" pivotButton="0" quotePrefix="0" xfId="0"/>
    <xf numFmtId="0" fontId="18" fillId="0" borderId="19" applyAlignment="1" pivotButton="0" quotePrefix="0" xfId="0">
      <alignment horizontal="center" wrapText="1"/>
    </xf>
    <xf numFmtId="164" fontId="18" fillId="0" borderId="19" applyAlignment="1" pivotButton="0" quotePrefix="0" xfId="0">
      <alignment horizont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justify" vertical="center" wrapText="1"/>
    </xf>
    <xf numFmtId="164" fontId="19" fillId="0" borderId="19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9" fillId="0" borderId="19" applyAlignment="1" pivotButton="0" quotePrefix="0" xfId="0">
      <alignment vertical="center"/>
    </xf>
    <xf numFmtId="14" fontId="2" fillId="0" borderId="0" pivotButton="0" quotePrefix="0" xfId="0"/>
    <xf numFmtId="164" fontId="18" fillId="0" borderId="19" applyAlignment="1" pivotButton="0" quotePrefix="0" xfId="0">
      <alignment vertic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64" fontId="16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wrapText="1"/>
    </xf>
    <xf numFmtId="164" fontId="5" fillId="0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164" fontId="3" fillId="3" borderId="4" applyAlignment="1" pivotButton="0" quotePrefix="0" xfId="3">
      <alignment horizontal="center" vertical="center" wrapText="1"/>
    </xf>
    <xf numFmtId="164" fontId="3" fillId="3" borderId="5" applyAlignment="1" pivotButton="0" quotePrefix="0" xfId="3">
      <alignment horizontal="center" vertical="center" wrapText="1"/>
    </xf>
    <xf numFmtId="9" fontId="3" fillId="3" borderId="4" applyAlignment="1" pivotButton="0" quotePrefix="0" xfId="3">
      <alignment horizontal="center" vertical="center" wrapText="1"/>
    </xf>
    <xf numFmtId="9" fontId="3" fillId="3" borderId="5" applyAlignment="1" pivotButton="0" quotePrefix="0" xfId="3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3" fillId="3" borderId="10" applyAlignment="1" pivotButton="0" quotePrefix="0" xfId="3">
      <alignment horizontal="center" vertical="center" wrapText="1"/>
    </xf>
    <xf numFmtId="164" fontId="3" fillId="3" borderId="12" applyAlignment="1" pivotButton="0" quotePrefix="0" xfId="3">
      <alignment horizontal="center" vertical="center" wrapText="1"/>
    </xf>
    <xf numFmtId="9" fontId="3" fillId="3" borderId="10" applyAlignment="1" pivotButton="0" quotePrefix="0" xfId="3">
      <alignment horizontal="center" vertical="center" wrapText="1"/>
    </xf>
    <xf numFmtId="9" fontId="3" fillId="3" borderId="12" applyAlignment="1" pivotButton="0" quotePrefix="0" xfId="3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 wrapText="1"/>
    </xf>
    <xf numFmtId="165" fontId="3" fillId="3" borderId="1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164" fontId="3" fillId="4" borderId="13" applyAlignment="1" pivotButton="0" quotePrefix="0" xfId="0">
      <alignment horizontal="center" vertical="center" wrapText="1"/>
    </xf>
    <xf numFmtId="164" fontId="3" fillId="4" borderId="1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9" fontId="2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164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10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0" fontId="17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14" fillId="0" borderId="2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left"/>
    </xf>
    <xf numFmtId="0" fontId="0" fillId="0" borderId="5" pivotButton="0" quotePrefix="0" xfId="0"/>
    <xf numFmtId="0" fontId="2" fillId="0" borderId="1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0" borderId="9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4" pivotButton="0" quotePrefix="0" xfId="0"/>
    <xf numFmtId="166" fontId="3" fillId="3" borderId="1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3">
      <alignment horizontal="center" vertical="center" wrapText="1"/>
    </xf>
    <xf numFmtId="9" fontId="3" fillId="3" borderId="14" applyAlignment="1" pivotButton="0" quotePrefix="0" xfId="3">
      <alignment horizontal="center" vertical="center" wrapText="1"/>
    </xf>
    <xf numFmtId="0" fontId="0" fillId="0" borderId="10" pivotButton="0" quotePrefix="0" xfId="0"/>
    <xf numFmtId="0" fontId="6" fillId="3" borderId="17" applyAlignment="1" pivotButton="0" quotePrefix="0" xfId="0">
      <alignment horizontal="center" vertical="center" wrapText="1"/>
    </xf>
    <xf numFmtId="164" fontId="3" fillId="3" borderId="17" applyAlignment="1" pivotButton="0" quotePrefix="0" xfId="3">
      <alignment horizontal="center" vertical="center" wrapText="1"/>
    </xf>
    <xf numFmtId="9" fontId="3" fillId="3" borderId="17" applyAlignment="1" pivotButton="0" quotePrefix="0" xfId="3">
      <alignment horizontal="center" vertical="center" wrapText="1"/>
    </xf>
    <xf numFmtId="167" fontId="2" fillId="4" borderId="9" applyAlignment="1" pivotButton="0" quotePrefix="0" xfId="1">
      <alignment horizontal="right" vertical="center" wrapText="1"/>
    </xf>
    <xf numFmtId="167" fontId="2" fillId="4" borderId="9" applyAlignment="1" pivotButton="0" quotePrefix="0" xfId="0">
      <alignment horizontal="right" vertical="center" wrapText="1"/>
    </xf>
    <xf numFmtId="167" fontId="9" fillId="4" borderId="9" applyAlignment="1" pivotButton="0" quotePrefix="0" xfId="2">
      <alignment horizontal="right" vertical="center" wrapText="1"/>
    </xf>
    <xf numFmtId="167" fontId="2" fillId="4" borderId="9" applyAlignment="1" pivotButton="0" quotePrefix="0" xfId="0">
      <alignment vertical="center" wrapText="1"/>
    </xf>
    <xf numFmtId="0" fontId="3" fillId="4" borderId="9" applyAlignment="1" pivotButton="0" quotePrefix="0" xfId="0">
      <alignment horizontal="center" vertical="center" wrapText="1"/>
    </xf>
    <xf numFmtId="167" fontId="3" fillId="4" borderId="13" applyAlignment="1" pivotButton="0" quotePrefix="0" xfId="0">
      <alignment horizontal="center" vertical="center" wrapText="1"/>
    </xf>
    <xf numFmtId="167" fontId="2" fillId="4" borderId="17" applyAlignment="1" pivotButton="0" quotePrefix="0" xfId="0">
      <alignment horizontal="right" vertical="center" wrapText="1"/>
    </xf>
    <xf numFmtId="167" fontId="0" fillId="0" borderId="14" pivotButton="0" quotePrefix="0" xfId="0"/>
    <xf numFmtId="167" fontId="3" fillId="4" borderId="9" applyAlignment="1" pivotButton="0" quotePrefix="0" xfId="2">
      <alignment horizontal="right" vertical="center" wrapText="1"/>
    </xf>
    <xf numFmtId="167" fontId="2" fillId="4" borderId="1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wrapText="1"/>
    </xf>
    <xf numFmtId="0" fontId="0" fillId="0" borderId="17" pivotButton="0" quotePrefix="0" xfId="0"/>
    <xf numFmtId="9" fontId="2" fillId="0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167" fontId="3" fillId="0" borderId="8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justify" vertical="top" wrapText="1"/>
    </xf>
    <xf numFmtId="167" fontId="2" fillId="0" borderId="9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justify" vertical="center" wrapText="1"/>
    </xf>
    <xf numFmtId="0" fontId="3" fillId="0" borderId="17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vertical="top" wrapText="1"/>
    </xf>
    <xf numFmtId="0" fontId="0" fillId="0" borderId="20" pivotButton="0" quotePrefix="0" xfId="0"/>
  </cellXfs>
  <cellStyles count="4">
    <cellStyle name="Normal" xfId="0" builtinId="0"/>
    <cellStyle name="Millares" xfId="1" builtinId="3"/>
    <cellStyle name="Moneda" xfId="2" builtinId="4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</authors>
  <commentList>
    <comment ref="B42" authorId="0" shapeId="0">
      <text>
        <t xml:space="preserve">DELL: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tabSelected="1" topLeftCell="A28" workbookViewId="0">
      <selection activeCell="N40" sqref="N40"/>
    </sheetView>
  </sheetViews>
  <sheetFormatPr baseColWidth="10" defaultColWidth="11.625" defaultRowHeight="11.25"/>
  <cols>
    <col width="0.875" customWidth="1" style="1" min="1" max="1"/>
    <col width="9.25" customWidth="1" style="1" min="2" max="2"/>
    <col width="37.375" customWidth="1" style="1" min="3" max="3"/>
    <col width="7.75" customWidth="1" style="217" min="4" max="4"/>
    <col width="9.75" customWidth="1" style="1" min="5" max="5"/>
    <col width="8.875" customWidth="1" style="1" min="6" max="6"/>
    <col width="10.25" customWidth="1" style="3" min="7" max="7"/>
    <col width="9.625" customWidth="1" style="4" min="8" max="8"/>
    <col width="10.75" customWidth="1" style="4" min="9" max="9"/>
    <col width="8" customWidth="1" style="3" min="10" max="10"/>
    <col width="11" customWidth="1" style="3" min="11" max="11"/>
    <col width="12.875" customWidth="1" style="217" min="12" max="12"/>
    <col width="1.25" customWidth="1" style="1" min="13" max="13"/>
    <col width="11.625" customWidth="1" style="1" min="14" max="16384"/>
  </cols>
  <sheetData>
    <row r="1" ht="6.6" customHeight="1" thickBot="1"/>
    <row r="2" ht="7.9" customHeight="1">
      <c r="B2" s="5" t="n"/>
      <c r="C2" s="6" t="n"/>
      <c r="D2" s="7" t="n"/>
      <c r="E2" s="6" t="n"/>
      <c r="F2" s="6" t="n"/>
      <c r="G2" s="210" t="n"/>
      <c r="H2" s="9" t="n"/>
      <c r="I2" s="9" t="n"/>
      <c r="J2" s="210" t="n"/>
      <c r="K2" s="210" t="n"/>
      <c r="L2" s="10" t="n"/>
    </row>
    <row r="3" ht="14.45" customHeight="1">
      <c r="B3" s="190" t="n"/>
      <c r="C3" s="115" t="n"/>
      <c r="D3" s="115" t="n"/>
      <c r="E3" s="115" t="n"/>
      <c r="F3" s="115" t="n"/>
      <c r="G3" s="115" t="n"/>
      <c r="H3" s="115" t="n"/>
      <c r="I3" s="115" t="inlineStr">
        <is>
          <t>FECHA DE ELABORACIÓN:</t>
        </is>
      </c>
      <c r="K3" s="117" t="inlineStr">
        <is>
          <t>02 de septiembre 2026</t>
        </is>
      </c>
      <c r="L3" s="235" t="n"/>
    </row>
    <row r="4" ht="18.6" customHeight="1">
      <c r="B4" s="13" t="n"/>
      <c r="D4" s="1" t="n"/>
      <c r="I4" s="118" t="inlineStr">
        <is>
          <t>EXPEDIENTE No.:</t>
        </is>
      </c>
      <c r="K4" s="120" t="inlineStr">
        <is>
          <t>PROYECTO_004</t>
        </is>
      </c>
      <c r="L4" s="235" t="n"/>
    </row>
    <row r="5" ht="8.449999999999999" customHeight="1">
      <c r="B5" s="13" t="n"/>
      <c r="D5" s="1" t="n"/>
      <c r="I5" s="118" t="n"/>
      <c r="J5" s="118" t="n"/>
      <c r="K5" s="15" t="n"/>
      <c r="L5" s="16" t="n"/>
    </row>
    <row r="6" ht="41.45" customHeight="1">
      <c r="B6" s="236" t="inlineStr">
        <is>
      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      </is>
      </c>
      <c r="L6" s="235" t="n"/>
    </row>
    <row r="7" ht="16.9" customHeight="1">
      <c r="B7" s="236" t="inlineStr">
        <is>
          <t>CABE MENCIONAR QUE DICHA (ADQUISICION, O CONTRATACION DEL SERVICIO) SE ENCUENTRA CONSIDERADO EN EL PROGRAMA ANUAL DE ADQUISICIONES Y SERVICIOS 2026</t>
        </is>
      </c>
      <c r="L7" s="235" t="n"/>
    </row>
    <row r="8" ht="7.9" customHeight="1" thickBot="1">
      <c r="B8" s="13" t="n"/>
      <c r="D8" s="1" t="n"/>
      <c r="J8" s="15" t="n"/>
      <c r="K8" s="15" t="n"/>
      <c r="L8" s="16" t="n"/>
    </row>
    <row r="9" ht="18.6" customHeight="1" thickBot="1">
      <c r="B9" s="132" t="inlineStr">
        <is>
          <t>ÁREA ADMINISTRATIVA USUARIA</t>
        </is>
      </c>
      <c r="C9" s="237" t="n"/>
      <c r="D9" s="125" t="inlineStr">
        <is>
          <t>C00 306 TESORERIA</t>
        </is>
      </c>
      <c r="E9" s="238" t="n"/>
      <c r="F9" s="238" t="n"/>
      <c r="G9" s="237" t="n"/>
      <c r="H9" s="239" t="inlineStr">
        <is>
          <t>CLAVE PROGRAMATICA:</t>
        </is>
      </c>
      <c r="I9" s="238" t="n"/>
      <c r="J9" s="237" t="n"/>
      <c r="K9" s="240" t="inlineStr">
        <is>
          <t>105020209</t>
        </is>
      </c>
      <c r="L9" s="237" t="n"/>
    </row>
    <row r="10" ht="18.6" customHeight="1" thickBot="1">
      <c r="B10" s="132" t="inlineStr">
        <is>
          <t>PARTIDA PRESUPUESTAL</t>
        </is>
      </c>
      <c r="C10" s="237" t="n"/>
      <c r="D10" s="125" t="inlineStr">
        <is>
          <t>8237 SERVCIOS DE TODO TIPO</t>
        </is>
      </c>
      <c r="E10" s="238" t="n"/>
      <c r="F10" s="238" t="n"/>
      <c r="G10" s="238" t="n"/>
      <c r="H10" s="238" t="n"/>
      <c r="I10" s="238" t="n"/>
      <c r="J10" s="238" t="n"/>
      <c r="K10" s="238" t="n"/>
      <c r="L10" s="237" t="n"/>
    </row>
    <row r="11" ht="29.25" customHeight="1" thickBot="1">
      <c r="B11" s="132" t="inlineStr">
        <is>
          <t xml:space="preserve">OBJETO DE LA CONTRATACIÓN Y/O ADQUISICIÓN: </t>
        </is>
      </c>
      <c r="C11" s="237" t="n"/>
      <c r="D11" s="124" t="inlineStr">
        <is>
          <t>CONTRATACION DE SERVICIOS PARA EL CONSUMO ADMINISTRATIVO</t>
        </is>
      </c>
      <c r="E11" s="238" t="n"/>
      <c r="F11" s="238" t="n"/>
      <c r="G11" s="238" t="n"/>
      <c r="H11" s="238" t="n"/>
      <c r="I11" s="238" t="n"/>
      <c r="J11" s="238" t="n"/>
      <c r="K11" s="238" t="n"/>
      <c r="L11" s="237" t="n"/>
    </row>
    <row r="12" ht="7.9" customHeight="1" thickBot="1">
      <c r="B12" s="105" t="n"/>
      <c r="C12" s="200" t="n"/>
      <c r="D12" s="127" t="n"/>
      <c r="E12" s="127" t="n"/>
      <c r="F12" s="127" t="n"/>
      <c r="G12" s="127" t="n"/>
      <c r="H12" s="127" t="n"/>
      <c r="I12" s="127" t="n"/>
      <c r="J12" s="127" t="n"/>
      <c r="K12" s="127" t="n"/>
      <c r="L12" s="128" t="n"/>
    </row>
    <row r="13" ht="45.6" customHeight="1">
      <c r="B13" s="241" t="inlineStr">
        <is>
      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    </is>
      </c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243" t="n"/>
    </row>
    <row r="14" ht="7.9" customHeight="1" thickBot="1">
      <c r="B14" s="190" t="n"/>
      <c r="C14" s="115" t="n"/>
      <c r="D14" s="122" t="n"/>
      <c r="E14" s="122" t="n"/>
      <c r="F14" s="122" t="n"/>
      <c r="G14" s="122" t="n"/>
      <c r="H14" s="122" t="n"/>
      <c r="I14" s="122" t="n"/>
      <c r="J14" s="122" t="n"/>
      <c r="K14" s="122" t="n"/>
      <c r="L14" s="123" t="n"/>
    </row>
    <row r="15" ht="24.6" customHeight="1" thickBot="1">
      <c r="B15" s="132" t="inlineStr">
        <is>
          <t>N.P</t>
        </is>
      </c>
      <c r="C15" s="132" t="inlineStr">
        <is>
          <t>PERSONA FISICA O JURIDICO COLECTIVA CONSULTADA</t>
        </is>
      </c>
      <c r="D15" s="238" t="n"/>
      <c r="E15" s="238" t="n"/>
      <c r="F15" s="237" t="n"/>
      <c r="G15" s="125" t="inlineStr">
        <is>
          <t>NUMERO TELEFONICO DE CONTACTO</t>
        </is>
      </c>
      <c r="H15" s="238" t="n"/>
      <c r="I15" s="237" t="n"/>
      <c r="J15" s="125" t="inlineStr">
        <is>
          <t>SE ENCUENTRA REGISTRADA EN EL PADRON DE PROVEEDORES DEL MUNICIPIO</t>
        </is>
      </c>
      <c r="K15" s="238" t="n"/>
      <c r="L15" s="237" t="n"/>
    </row>
    <row r="16" ht="12" customHeight="1" thickBot="1">
      <c r="B16" s="132" t="n">
        <v>1</v>
      </c>
      <c r="C16" s="124" t="inlineStr">
        <is>
          <t>Gabriel Lopez Crisostomo</t>
        </is>
      </c>
      <c r="D16" s="238" t="n"/>
      <c r="E16" s="238" t="n"/>
      <c r="F16" s="237" t="n"/>
      <c r="G16" s="125" t="inlineStr">
        <is>
          <t>7122893019</t>
        </is>
      </c>
      <c r="H16" s="238" t="n"/>
      <c r="I16" s="237" t="n"/>
      <c r="J16" s="125" t="inlineStr">
        <is>
          <t>SI</t>
        </is>
      </c>
      <c r="K16" s="238" t="n"/>
      <c r="L16" s="237" t="n"/>
    </row>
    <row r="17" ht="12" customHeight="1" thickBot="1">
      <c r="B17" s="132" t="n">
        <v>2</v>
      </c>
      <c r="C17" s="124" t="inlineStr">
        <is>
          <t>Santiago Lopez Cruz</t>
        </is>
      </c>
      <c r="D17" s="238" t="n"/>
      <c r="E17" s="238" t="n"/>
      <c r="F17" s="237" t="n"/>
      <c r="G17" s="125" t="inlineStr">
        <is>
          <t>8120381738</t>
        </is>
      </c>
      <c r="H17" s="238" t="n"/>
      <c r="I17" s="237" t="n"/>
      <c r="J17" s="125" t="inlineStr">
        <is>
          <t>SI</t>
        </is>
      </c>
      <c r="K17" s="238" t="n"/>
      <c r="L17" s="237" t="n"/>
    </row>
    <row r="18" ht="12" customHeight="1" thickBot="1">
      <c r="B18" s="132" t="n">
        <v>3</v>
      </c>
      <c r="C18" s="124" t="inlineStr"/>
      <c r="D18" s="238" t="n"/>
      <c r="E18" s="238" t="n"/>
      <c r="F18" s="237" t="n"/>
      <c r="G18" s="125" t="inlineStr"/>
      <c r="H18" s="238" t="n"/>
      <c r="I18" s="237" t="n"/>
      <c r="J18" s="125" t="inlineStr"/>
      <c r="K18" s="238" t="n"/>
      <c r="L18" s="237" t="n"/>
    </row>
    <row r="19" ht="7.9" customHeight="1">
      <c r="B19" s="180" t="n"/>
      <c r="C19" s="181" t="n"/>
      <c r="D19" s="181" t="n"/>
      <c r="E19" s="181" t="n"/>
      <c r="F19" s="181" t="n"/>
      <c r="G19" s="26" t="n"/>
      <c r="H19" s="26" t="n"/>
      <c r="I19" s="26" t="n"/>
      <c r="J19" s="26" t="n"/>
      <c r="K19" s="26" t="n"/>
      <c r="L19" s="27" t="n"/>
    </row>
    <row r="20" ht="27.6" customHeight="1">
      <c r="B20" s="236" t="inlineStr">
        <is>
      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      </is>
      </c>
      <c r="L20" s="235" t="n"/>
    </row>
    <row r="21" ht="28.15" customHeight="1" thickBot="1">
      <c r="B21" s="244" t="inlineStr">
        <is>
          <t xml:space="preserve">A. CANTIDAD
DE LOS (PROVEEDORES O PRESTADORES DE SERVICIO) CONSULTADOS, LOS SIGUIENTES COTIZARON LOS (BIENES O SERVICIOS) SOLICITADOS: 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6" t="n"/>
    </row>
    <row r="22" ht="9.6" customHeight="1" thickBo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30" t="n"/>
    </row>
    <row r="23" ht="24.6" customHeight="1" thickBot="1">
      <c r="B23" s="132" t="inlineStr">
        <is>
          <t>N.P</t>
        </is>
      </c>
      <c r="C23" s="132" t="inlineStr">
        <is>
          <t>PERSONA FISICA O JURIDICO COLECTIVA CONSULTADA</t>
        </is>
      </c>
      <c r="D23" s="238" t="n"/>
      <c r="E23" s="238" t="n"/>
      <c r="F23" s="237" t="n"/>
      <c r="G23" s="125" t="inlineStr">
        <is>
          <t>NUMERO TELEFONICO DE CONTACTO</t>
        </is>
      </c>
      <c r="H23" s="238" t="n"/>
      <c r="I23" s="237" t="n"/>
      <c r="J23" s="125" t="inlineStr">
        <is>
          <t>CUMPLE</t>
        </is>
      </c>
      <c r="K23" s="238" t="n"/>
      <c r="L23" s="237" t="n"/>
    </row>
    <row r="24" ht="10.9" customHeight="1" thickBot="1">
      <c r="B24" s="132" t="n">
        <v>1</v>
      </c>
      <c r="C24" s="124" t="inlineStr">
        <is>
          <t>Gabriel Lopez Crisostomo</t>
        </is>
      </c>
      <c r="D24" s="238" t="n"/>
      <c r="E24" s="238" t="n"/>
      <c r="F24" s="237" t="n"/>
      <c r="G24" s="125" t="inlineStr">
        <is>
          <t>7122893019</t>
        </is>
      </c>
      <c r="H24" s="238" t="n"/>
      <c r="I24" s="237" t="n"/>
      <c r="J24" s="125" t="inlineStr">
        <is>
          <t>NO</t>
        </is>
      </c>
      <c r="K24" s="238" t="n"/>
      <c r="L24" s="237" t="n"/>
    </row>
    <row r="25" ht="12" customHeight="1" thickBot="1">
      <c r="B25" s="132" t="n">
        <v>2</v>
      </c>
      <c r="C25" s="124" t="inlineStr">
        <is>
          <t>Santiago Lopez Cruz</t>
        </is>
      </c>
      <c r="D25" s="238" t="n"/>
      <c r="E25" s="238" t="n"/>
      <c r="F25" s="237" t="n"/>
      <c r="G25" s="125" t="inlineStr">
        <is>
          <t>8120381738</t>
        </is>
      </c>
      <c r="H25" s="238" t="n"/>
      <c r="I25" s="237" t="n"/>
      <c r="J25" s="125" t="inlineStr">
        <is>
          <t>SI</t>
        </is>
      </c>
      <c r="K25" s="238" t="n"/>
      <c r="L25" s="237" t="n"/>
    </row>
    <row r="26" ht="10.9" customHeight="1" thickBot="1">
      <c r="B26" s="132" t="n">
        <v>3</v>
      </c>
      <c r="C26" s="124" t="inlineStr"/>
      <c r="D26" s="238" t="n"/>
      <c r="E26" s="238" t="n"/>
      <c r="F26" s="237" t="n"/>
      <c r="G26" s="125" t="inlineStr"/>
      <c r="H26" s="238" t="n"/>
      <c r="I26" s="237" t="n"/>
      <c r="J26" s="125" t="inlineStr"/>
      <c r="K26" s="238" t="n"/>
      <c r="L26" s="237" t="n"/>
    </row>
    <row r="27" ht="9.6" customHeight="1" thickBot="1">
      <c r="B27" s="28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30" t="n"/>
    </row>
    <row r="28" ht="33.6" customHeight="1" thickBot="1">
      <c r="B28" s="247" t="inlineStr">
        <is>
          <t>B. CALIDAD
DE LOS (PROVEEDORES O PRESTADORES DE SERVICIO) CONSULTADOS, LOS SIGUIENTES CUMPLEN CON LAS ESPECIFICACIONES TECNICAS DE LOS (BIENES O SERVICIOS) SOLICITADOS:</t>
        </is>
      </c>
      <c r="C28" s="238" t="n"/>
      <c r="D28" s="238" t="n"/>
      <c r="E28" s="238" t="n"/>
      <c r="F28" s="238" t="n"/>
      <c r="G28" s="238" t="n"/>
      <c r="H28" s="238" t="n"/>
      <c r="I28" s="238" t="n"/>
      <c r="J28" s="238" t="n"/>
      <c r="K28" s="238" t="n"/>
      <c r="L28" s="237" t="n"/>
    </row>
    <row r="29" ht="24.6" customHeight="1" thickBot="1">
      <c r="B29" s="132" t="inlineStr">
        <is>
          <t>N.P</t>
        </is>
      </c>
      <c r="C29" s="132" t="inlineStr">
        <is>
          <t>PERSONA FISICA O JURIDICO COLECTIVA CONSULTADA</t>
        </is>
      </c>
      <c r="D29" s="238" t="n"/>
      <c r="E29" s="238" t="n"/>
      <c r="F29" s="237" t="n"/>
      <c r="G29" s="125" t="inlineStr">
        <is>
          <t>NUMERO TELEFONICO DE CONTACTO</t>
        </is>
      </c>
      <c r="H29" s="238" t="n"/>
      <c r="I29" s="237" t="n"/>
      <c r="J29" s="125" t="inlineStr">
        <is>
          <t>CUMPLE</t>
        </is>
      </c>
      <c r="K29" s="238" t="n"/>
      <c r="L29" s="237" t="n"/>
    </row>
    <row r="30" ht="10.9" customHeight="1" thickBot="1">
      <c r="B30" s="132" t="n">
        <v>1</v>
      </c>
      <c r="C30" s="124" t="inlineStr">
        <is>
          <t>Gabriel Lopez Crisostomo</t>
        </is>
      </c>
      <c r="D30" s="238" t="n"/>
      <c r="E30" s="238" t="n"/>
      <c r="F30" s="237" t="n"/>
      <c r="G30" s="125" t="inlineStr">
        <is>
          <t>7122893019</t>
        </is>
      </c>
      <c r="H30" s="238" t="n"/>
      <c r="I30" s="237" t="n"/>
      <c r="J30" s="125" t="inlineStr">
        <is>
          <t>SI</t>
        </is>
      </c>
      <c r="K30" s="238" t="n"/>
      <c r="L30" s="237" t="n"/>
    </row>
    <row r="31" ht="12" customHeight="1" thickBot="1">
      <c r="B31" s="132" t="n">
        <v>2</v>
      </c>
      <c r="C31" s="124" t="inlineStr">
        <is>
          <t>Santiago Lopez Cruz</t>
        </is>
      </c>
      <c r="D31" s="238" t="n"/>
      <c r="E31" s="238" t="n"/>
      <c r="F31" s="237" t="n"/>
      <c r="G31" s="125" t="inlineStr">
        <is>
          <t>8120381738</t>
        </is>
      </c>
      <c r="H31" s="238" t="n"/>
      <c r="I31" s="237" t="n"/>
      <c r="J31" s="125" t="inlineStr">
        <is>
          <t>SI</t>
        </is>
      </c>
      <c r="K31" s="238" t="n"/>
      <c r="L31" s="237" t="n"/>
    </row>
    <row r="32" ht="10.9" customHeight="1" thickBot="1">
      <c r="B32" s="132" t="n">
        <v>3</v>
      </c>
      <c r="C32" s="124" t="inlineStr"/>
      <c r="D32" s="238" t="n"/>
      <c r="E32" s="238" t="n"/>
      <c r="F32" s="237" t="n"/>
      <c r="G32" s="125" t="inlineStr"/>
      <c r="H32" s="238" t="n"/>
      <c r="I32" s="237" t="n"/>
      <c r="J32" s="125" t="inlineStr"/>
      <c r="K32" s="238" t="n"/>
      <c r="L32" s="237" t="n"/>
    </row>
    <row r="33" ht="16.9" customHeight="1" thickBot="1">
      <c r="B33" s="28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30" t="n"/>
    </row>
    <row r="34" ht="41.45" customHeight="1" thickBot="1">
      <c r="B34" s="247" t="inlineStr">
        <is>
          <t>C. OPORTUNIDAD
DE LOS (PROVEEDORES O PRESTADORES DE SERVICIO) CONSULTADOS, LOS SIGUIENTES CUMPLEN CON LAS ESPECIFICACIONES ADMINISTRATIVAS Y PARAMETROS DE REFERENCIA, RELATIVOS A LOS (BIENES O SERVICIOS) SOLICITADOS: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7" t="n"/>
    </row>
    <row r="35" ht="24.6" customHeight="1" thickBot="1">
      <c r="B35" s="132" t="inlineStr">
        <is>
          <t>N.P</t>
        </is>
      </c>
      <c r="C35" s="132" t="inlineStr">
        <is>
          <t>PERSONA FISICA O JURIDICO COLECTIVA CONSULTADA</t>
        </is>
      </c>
      <c r="D35" s="238" t="n"/>
      <c r="E35" s="238" t="n"/>
      <c r="F35" s="237" t="n"/>
      <c r="G35" s="125" t="inlineStr">
        <is>
          <t>NUMERO TELEFONICO DE CONTACTO</t>
        </is>
      </c>
      <c r="H35" s="238" t="n"/>
      <c r="I35" s="237" t="n"/>
      <c r="J35" s="125" t="inlineStr">
        <is>
          <t>CUMPLE</t>
        </is>
      </c>
      <c r="K35" s="238" t="n"/>
      <c r="L35" s="237" t="n"/>
    </row>
    <row r="36" ht="10.9" customHeight="1" thickBot="1">
      <c r="B36" s="132" t="n">
        <v>1</v>
      </c>
      <c r="C36" s="124" t="inlineStr">
        <is>
          <t>Gabriel Lopez Crisostomo</t>
        </is>
      </c>
      <c r="D36" s="238" t="n"/>
      <c r="E36" s="238" t="n"/>
      <c r="F36" s="237" t="n"/>
      <c r="G36" s="125" t="inlineStr">
        <is>
          <t>7122893019</t>
        </is>
      </c>
      <c r="H36" s="238" t="n"/>
      <c r="I36" s="237" t="n"/>
      <c r="J36" s="125" t="inlineStr">
        <is>
          <t>SI</t>
        </is>
      </c>
      <c r="K36" s="238" t="n"/>
      <c r="L36" s="237" t="n"/>
    </row>
    <row r="37" ht="12" customHeight="1" thickBot="1">
      <c r="B37" s="132" t="n">
        <v>2</v>
      </c>
      <c r="C37" s="124" t="inlineStr">
        <is>
          <t>Santiago Lopez Cruz</t>
        </is>
      </c>
      <c r="D37" s="238" t="n"/>
      <c r="E37" s="238" t="n"/>
      <c r="F37" s="237" t="n"/>
      <c r="G37" s="125" t="inlineStr">
        <is>
          <t>8120381738</t>
        </is>
      </c>
      <c r="H37" s="238" t="n"/>
      <c r="I37" s="237" t="n"/>
      <c r="J37" s="125" t="inlineStr">
        <is>
          <t>NO</t>
        </is>
      </c>
      <c r="K37" s="238" t="n"/>
      <c r="L37" s="237" t="n"/>
    </row>
    <row r="38" ht="10.9" customHeight="1" thickBot="1">
      <c r="B38" s="132" t="n">
        <v>3</v>
      </c>
      <c r="C38" s="124" t="inlineStr"/>
      <c r="D38" s="238" t="n"/>
      <c r="E38" s="238" t="n"/>
      <c r="F38" s="237" t="n"/>
      <c r="G38" s="125" t="inlineStr"/>
      <c r="H38" s="238" t="n"/>
      <c r="I38" s="237" t="n"/>
      <c r="J38" s="125" t="inlineStr"/>
      <c r="K38" s="238" t="n"/>
      <c r="L38" s="237" t="n"/>
    </row>
    <row r="39" ht="21" customHeight="1" thickBot="1">
      <c r="B39" s="28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30" t="n"/>
    </row>
    <row r="40" ht="36.6" customHeight="1" thickBot="1">
      <c r="B40" s="124" t="inlineStr">
        <is>
          <t>ALCANCE:
DE ACUERDO CON LAS COTIZACIONES OBTENIDAS, PARA DETERMINAR LA EXISTENCIA DEL (BIEN O SERVICIO) Y DE (PROVEEDORES O PRESTADORES DE SERVICIOS), ASI COMO CONOCER EL PRECIO QUE PREVALECE EN EL MERCADO, SE PRESENTA EL SIGUIENTE ESTUDIO DE MERCADO:</t>
        </is>
      </c>
      <c r="C40" s="238" t="n"/>
      <c r="D40" s="238" t="n"/>
      <c r="E40" s="238" t="n"/>
      <c r="F40" s="238" t="n"/>
      <c r="G40" s="238" t="n"/>
      <c r="H40" s="238" t="n"/>
      <c r="I40" s="238" t="n"/>
      <c r="J40" s="238" t="n"/>
      <c r="K40" s="238" t="n"/>
      <c r="L40" s="237" t="n"/>
    </row>
    <row r="41" ht="9" customHeight="1" thickBot="1">
      <c r="B41" s="31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3" t="n"/>
    </row>
    <row r="42">
      <c r="B42" s="248" t="n"/>
      <c r="C42" s="235" t="n"/>
      <c r="D42" s="34" t="inlineStr">
        <is>
          <t>FECHA</t>
        </is>
      </c>
      <c r="E42" s="243" t="n"/>
      <c r="F42" s="158" t="inlineStr">
        <is>
          <t>COTIZACIÓN 1</t>
        </is>
      </c>
      <c r="G42" s="243" t="n"/>
      <c r="H42" s="249" t="inlineStr">
        <is>
          <t>COTIZACIÓN 2</t>
        </is>
      </c>
      <c r="I42" s="243" t="n"/>
      <c r="J42" s="250" t="inlineStr">
        <is>
          <t>COTIZACION 3</t>
        </is>
      </c>
      <c r="K42" s="243" t="n"/>
      <c r="L42" s="34" t="n"/>
    </row>
    <row r="43" ht="37.9" customHeight="1">
      <c r="B43" s="251" t="n"/>
      <c r="C43" s="235" t="n"/>
      <c r="D43" s="252" t="n">
        <v>46267</v>
      </c>
      <c r="E43" s="235" t="n"/>
      <c r="F43" s="253" t="inlineStr">
        <is>
          <t>Gabriel Lopez Crisostomo</t>
        </is>
      </c>
      <c r="G43" s="235" t="n"/>
      <c r="H43" s="254" t="inlineStr">
        <is>
          <t>Santiago Lopez Cruz</t>
        </is>
      </c>
      <c r="I43" s="235" t="n"/>
      <c r="J43" s="255" t="n"/>
      <c r="K43" s="235" t="n"/>
      <c r="L43" s="35" t="n"/>
    </row>
    <row r="44" ht="12" customHeight="1" thickBot="1">
      <c r="B44" s="256" t="n"/>
      <c r="C44" s="246" t="n"/>
      <c r="D44" s="256" t="n"/>
      <c r="E44" s="246" t="n"/>
      <c r="F44" s="257" t="inlineStr">
        <is>
          <t>HGF29JL0993</t>
        </is>
      </c>
      <c r="G44" s="246" t="n"/>
      <c r="H44" s="258" t="inlineStr">
        <is>
          <t>HSG782HS</t>
        </is>
      </c>
      <c r="I44" s="246" t="n"/>
      <c r="J44" s="259" t="n"/>
      <c r="K44" s="246" t="n"/>
      <c r="L44" s="35" t="n"/>
    </row>
    <row r="45" ht="38.25" customHeight="1" thickBot="1">
      <c r="B45" s="36" t="inlineStr">
        <is>
          <t>N.P</t>
        </is>
      </c>
      <c r="C45" s="36" t="inlineStr">
        <is>
          <t xml:space="preserve">DESCRIPCION </t>
        </is>
      </c>
      <c r="D45" s="36" t="inlineStr">
        <is>
          <t>UNIDAD DE MEDIDA</t>
        </is>
      </c>
      <c r="E45" s="36" t="inlineStr">
        <is>
          <t>CANTIDAD</t>
        </is>
      </c>
      <c r="F45" s="36" t="inlineStr">
        <is>
          <t>PRECIO UNITARIO</t>
        </is>
      </c>
      <c r="G45" s="36" t="inlineStr">
        <is>
          <t>IMPORTE</t>
        </is>
      </c>
      <c r="H45" s="37" t="inlineStr">
        <is>
          <t>PRECIO UNITARIO</t>
        </is>
      </c>
      <c r="I45" s="37" t="inlineStr">
        <is>
          <t>IMPORTE</t>
        </is>
      </c>
      <c r="J45" s="36" t="inlineStr">
        <is>
          <t>PRECIO UNITARIO</t>
        </is>
      </c>
      <c r="K45" s="36" t="inlineStr">
        <is>
          <t>IMPORTE</t>
        </is>
      </c>
      <c r="L45" s="36" t="inlineStr">
        <is>
          <t>PRECIO PROMEDIO  DE REFERENCIA</t>
        </is>
      </c>
    </row>
    <row r="46" ht="21.75" customHeight="1" thickBot="1">
      <c r="B46" s="38" t="n">
        <v>1</v>
      </c>
      <c r="C46" s="39" t="inlineStr">
        <is>
          <t>SERVICIOSS1</t>
        </is>
      </c>
      <c r="D46" s="40" t="inlineStr">
        <is>
          <t>SERVICIO</t>
        </is>
      </c>
      <c r="E46" s="40" t="n">
        <v>1</v>
      </c>
      <c r="F46" s="260" t="n">
        <v>128</v>
      </c>
      <c r="G46" s="261" t="n">
        <v>128</v>
      </c>
      <c r="H46" s="260" t="n">
        <v>213</v>
      </c>
      <c r="I46" s="261" t="n">
        <v>213</v>
      </c>
      <c r="J46" s="260" t="inlineStr"/>
      <c r="K46" s="262" t="inlineStr"/>
      <c r="L46" s="263" t="n">
        <v>170.5</v>
      </c>
    </row>
    <row r="47" ht="24" customHeight="1" thickBot="1">
      <c r="B47" s="45" t="n">
        <v>2</v>
      </c>
      <c r="C47" s="39" t="inlineStr">
        <is>
          <t>SERVICIOSS2</t>
        </is>
      </c>
      <c r="D47" s="40" t="inlineStr">
        <is>
          <t>SERVICIO</t>
        </is>
      </c>
      <c r="E47" s="40" t="n">
        <v>1</v>
      </c>
      <c r="F47" s="260" t="n">
        <v>121</v>
      </c>
      <c r="G47" s="261" t="n">
        <v>121</v>
      </c>
      <c r="H47" s="260" t="n">
        <v>313</v>
      </c>
      <c r="I47" s="261" t="n">
        <v>313</v>
      </c>
      <c r="J47" s="260" t="inlineStr"/>
      <c r="K47" s="262" t="inlineStr"/>
      <c r="L47" s="263" t="n">
        <v>217</v>
      </c>
    </row>
    <row r="48" ht="24" customHeight="1" thickBot="1">
      <c r="B48" s="38" t="n">
        <v>3</v>
      </c>
      <c r="C48" s="39" t="inlineStr">
        <is>
          <t>SERVICIOSS3</t>
        </is>
      </c>
      <c r="D48" s="40" t="inlineStr">
        <is>
          <t>SERVICIO</t>
        </is>
      </c>
      <c r="E48" s="40" t="n">
        <v>1</v>
      </c>
      <c r="F48" s="260" t="n">
        <v>212</v>
      </c>
      <c r="G48" s="261" t="n">
        <v>212</v>
      </c>
      <c r="H48" s="260" t="n">
        <v>123</v>
      </c>
      <c r="I48" s="261" t="n">
        <v>123</v>
      </c>
      <c r="J48" s="260" t="inlineStr"/>
      <c r="K48" s="262" t="inlineStr"/>
      <c r="L48" s="263" t="n">
        <v>167.5</v>
      </c>
    </row>
    <row r="49" ht="24" customHeight="1" thickBot="1">
      <c r="B49" s="45" t="n">
        <v>4</v>
      </c>
      <c r="C49" s="39" t="inlineStr">
        <is>
          <t>SERVICIOSS4</t>
        </is>
      </c>
      <c r="D49" s="40" t="inlineStr">
        <is>
          <t>SERVICIO</t>
        </is>
      </c>
      <c r="E49" s="40" t="n">
        <v>1</v>
      </c>
      <c r="F49" s="260" t="n">
        <v>313</v>
      </c>
      <c r="G49" s="261" t="n">
        <v>313</v>
      </c>
      <c r="H49" s="260" t="n">
        <v>313</v>
      </c>
      <c r="I49" s="261" t="n">
        <v>313</v>
      </c>
      <c r="J49" s="260" t="inlineStr"/>
      <c r="K49" s="262" t="inlineStr"/>
      <c r="L49" s="263" t="n">
        <v>313</v>
      </c>
    </row>
    <row r="50" ht="12" customHeight="1" thickBot="1">
      <c r="B50" s="264" t="n"/>
      <c r="C50" s="242" t="n"/>
      <c r="D50" s="243" t="n"/>
      <c r="E50" s="46" t="n"/>
      <c r="F50" s="47" t="inlineStr">
        <is>
          <t>SUBTOTAL</t>
        </is>
      </c>
      <c r="G50" s="261" t="n">
        <v>774</v>
      </c>
      <c r="H50" s="48" t="inlineStr">
        <is>
          <t>SUBTOTAL</t>
        </is>
      </c>
      <c r="I50" s="261" t="n">
        <v>962</v>
      </c>
      <c r="J50" s="47" t="inlineStr">
        <is>
          <t>SUBTOTAL</t>
        </is>
      </c>
      <c r="K50" s="261" t="inlineStr"/>
      <c r="L50" s="265">
        <f>(G50+I50)/2</f>
        <v/>
      </c>
    </row>
    <row r="51" ht="15" customHeight="1" thickBot="1">
      <c r="B51" s="251" t="n"/>
      <c r="D51" s="235" t="n"/>
      <c r="E51" s="49" t="n"/>
      <c r="F51" s="50" t="inlineStr">
        <is>
          <t>I.V.A.</t>
        </is>
      </c>
      <c r="G51" s="266" t="n">
        <v>123.84</v>
      </c>
      <c r="H51" s="52" t="n"/>
      <c r="I51" s="266" t="n">
        <v>153.92</v>
      </c>
      <c r="J51" s="50" t="n"/>
      <c r="K51" s="266" t="inlineStr"/>
      <c r="L51" s="267" t="n"/>
    </row>
    <row r="52" ht="15" customHeight="1" thickBot="1">
      <c r="B52" s="256" t="n"/>
      <c r="C52" s="245" t="n"/>
      <c r="D52" s="246" t="n"/>
      <c r="E52" s="53" t="n"/>
      <c r="F52" s="54" t="inlineStr">
        <is>
          <t>TOTAL</t>
        </is>
      </c>
      <c r="G52" s="268" t="n">
        <v>897.84</v>
      </c>
      <c r="H52" s="56" t="inlineStr">
        <is>
          <t>TOTAL</t>
        </is>
      </c>
      <c r="I52" s="268" t="n">
        <v>1115.92</v>
      </c>
      <c r="J52" s="54" t="inlineStr">
        <is>
          <t>TOTAL</t>
        </is>
      </c>
      <c r="K52" s="268" t="inlineStr"/>
      <c r="L52" s="269" t="n">
        <v>1006.88</v>
      </c>
    </row>
    <row r="53" ht="6" customHeight="1" thickBot="1">
      <c r="B53" s="58" t="n"/>
      <c r="C53" s="59" t="n"/>
      <c r="D53" s="59" t="n"/>
      <c r="E53" s="60" t="n"/>
      <c r="F53" s="61" t="n"/>
      <c r="G53" s="62" t="n"/>
      <c r="H53" s="63" t="n"/>
      <c r="I53" s="62" t="n"/>
      <c r="J53" s="63" t="n"/>
      <c r="K53" s="64" t="n"/>
      <c r="L53" s="65" t="n"/>
    </row>
    <row r="54" ht="15" customHeight="1" thickBot="1">
      <c r="B54" s="132" t="inlineStr">
        <is>
          <t>N.P</t>
        </is>
      </c>
      <c r="C54" s="132" t="inlineStr">
        <is>
          <t xml:space="preserve">CONDICIONES COMERCIALES </t>
        </is>
      </c>
      <c r="D54" s="242" t="n"/>
      <c r="E54" s="242" t="n"/>
      <c r="F54" s="243" t="n"/>
      <c r="G54" s="270" t="inlineStr">
        <is>
          <t>CUMPLEN CON LAS CONDICIONES COMERCIALES (SI/NO)</t>
        </is>
      </c>
      <c r="H54" s="238" t="n"/>
      <c r="I54" s="238" t="n"/>
      <c r="J54" s="238" t="n"/>
      <c r="K54" s="238" t="n"/>
      <c r="L54" s="237" t="n"/>
    </row>
    <row r="55" ht="32.45" customHeight="1" thickBot="1">
      <c r="B55" s="271" t="n"/>
      <c r="C55" s="256" t="n"/>
      <c r="D55" s="245" t="n"/>
      <c r="E55" s="245" t="n"/>
      <c r="F55" s="246" t="n"/>
      <c r="G55" s="132">
        <f>F43</f>
        <v/>
      </c>
      <c r="H55" s="237" t="n"/>
      <c r="I55" s="239">
        <f>H43</f>
        <v/>
      </c>
      <c r="J55" s="237" t="n"/>
      <c r="K55" s="272">
        <f>J43</f>
        <v/>
      </c>
      <c r="L55" s="237" t="n"/>
    </row>
    <row r="56" ht="50.45" customHeight="1" thickBot="1">
      <c r="B56" s="132" t="inlineStr">
        <is>
          <t>LUGAR DE ENTREGA DE LOS BIENES Y/O SERVICIOS:</t>
        </is>
      </c>
      <c r="C56" s="166" t="inlineStr">
        <is>
          <t>SMDIF</t>
        </is>
      </c>
      <c r="D56" s="238" t="n"/>
      <c r="E56" s="238" t="n"/>
      <c r="F56" s="237" t="n"/>
      <c r="G56" s="125" t="n"/>
      <c r="H56" s="237" t="n"/>
      <c r="I56" s="125" t="n"/>
      <c r="J56" s="237" t="n"/>
      <c r="K56" s="125">
        <f>J38</f>
        <v/>
      </c>
      <c r="L56" s="237" t="n"/>
    </row>
    <row r="57" ht="32.45" customHeight="1" thickBot="1">
      <c r="B57" s="132" t="inlineStr">
        <is>
          <t>PLAZO DE ENTREGA O VIGENCIA:</t>
        </is>
      </c>
      <c r="C57" s="166" t="inlineStr">
        <is>
          <t>3 DIAS</t>
        </is>
      </c>
      <c r="D57" s="238" t="n"/>
      <c r="E57" s="238" t="n"/>
      <c r="F57" s="237" t="n"/>
      <c r="G57" s="125" t="n"/>
      <c r="H57" s="237" t="n"/>
      <c r="I57" s="125" t="n"/>
      <c r="J57" s="237" t="n"/>
      <c r="K57" s="125">
        <f>K56</f>
        <v/>
      </c>
      <c r="L57" s="237" t="n"/>
    </row>
    <row r="58" ht="45" customHeight="1" thickBot="1">
      <c r="B58" s="132" t="inlineStr">
        <is>
          <t>FORMA DE PAGO:</t>
        </is>
      </c>
      <c r="C58" s="166" t="inlineStr">
        <is>
          <t>TESORERIA</t>
        </is>
      </c>
      <c r="D58" s="238" t="n"/>
      <c r="E58" s="238" t="n"/>
      <c r="F58" s="237" t="n"/>
      <c r="G58" s="125" t="n"/>
      <c r="H58" s="237" t="n"/>
      <c r="I58" s="125" t="n"/>
      <c r="J58" s="237" t="n"/>
      <c r="K58" s="125">
        <f>K57</f>
        <v/>
      </c>
      <c r="L58" s="237" t="n"/>
    </row>
    <row r="59" ht="112.5" customHeight="1" thickBot="1">
      <c r="B59" s="273" t="inlineStr">
        <is>
      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      </is>
      </c>
      <c r="C59" s="238" t="n"/>
      <c r="D59" s="238" t="n"/>
      <c r="E59" s="238" t="n"/>
      <c r="F59" s="238" t="n"/>
      <c r="G59" s="238" t="n"/>
      <c r="H59" s="238" t="n"/>
      <c r="I59" s="238" t="n"/>
      <c r="J59" s="238" t="n"/>
      <c r="K59" s="238" t="n"/>
      <c r="L59" s="237" t="n"/>
    </row>
    <row r="60" ht="9.6" customHeight="1" thickBot="1">
      <c r="B60" s="66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67" t="n"/>
    </row>
    <row r="61" ht="16.15" customHeight="1" thickBot="1">
      <c r="B61" s="126" t="inlineStr">
        <is>
          <t>EL PRECIO DE REFERENCIA CON IVA INCLUIDO OBTENIDO EN EL ESTUDIO DE MERCADO ASCIENDE A LA CANTIDAD DE:</t>
        </is>
      </c>
      <c r="C61" s="238" t="n"/>
      <c r="D61" s="238" t="n"/>
      <c r="E61" s="238" t="n"/>
      <c r="F61" s="238" t="n"/>
      <c r="G61" s="238" t="n"/>
      <c r="H61" s="274">
        <f>I52</f>
        <v/>
      </c>
      <c r="I61" s="109" t="inlineStr">
        <is>
          <t>MIL CIENTO QUINCE PESOS 92/100 M.N.</t>
        </is>
      </c>
      <c r="J61" s="238" t="n"/>
      <c r="K61" s="238" t="n"/>
      <c r="L61" s="237" t="n"/>
    </row>
    <row r="62" ht="12.6" customHeight="1">
      <c r="B62" s="192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4" t="n"/>
    </row>
    <row r="63" ht="25.9" customHeight="1">
      <c r="B63" s="275" t="inlineStr">
        <is>
          <t>RESULTADO DEL ESTUDIO DE MERCADO Y AUTORIZACION DE INICIACIÓN DEL PROCEDIMIENTO ADQUISITIVO</t>
        </is>
      </c>
      <c r="L63" s="235" t="n"/>
    </row>
    <row r="64" ht="20.45" customHeight="1">
      <c r="B64" s="276" t="inlineStr">
        <is>
      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    </is>
      </c>
      <c r="L64" s="235" t="n"/>
    </row>
    <row r="65" ht="7.9" customHeight="1" thickBot="1">
      <c r="B65" s="192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194" t="n"/>
    </row>
    <row r="66" ht="19.9" customHeight="1" thickBot="1">
      <c r="B66" s="72" t="inlineStr">
        <is>
          <t>NOMBRE O RAZÓN SOCIAL:</t>
        </is>
      </c>
      <c r="C66" s="195" t="inlineStr">
        <is>
          <t>Santiago Lopez Cruz</t>
        </is>
      </c>
      <c r="D66" s="238" t="n"/>
      <c r="E66" s="237" t="n"/>
      <c r="F66" s="72" t="inlineStr">
        <is>
          <t>RFC</t>
        </is>
      </c>
      <c r="G66" s="195" t="inlineStr">
        <is>
          <t>HSG782HS</t>
        </is>
      </c>
      <c r="H66" s="72" t="inlineStr">
        <is>
          <t>DOMICILIO:</t>
        </is>
      </c>
      <c r="I66" s="125" t="inlineStr">
        <is>
          <t>SAN JUAN COAJOMULCO</t>
        </is>
      </c>
      <c r="J66" s="238" t="n"/>
      <c r="K66" s="238" t="n"/>
      <c r="L66" s="237" t="n"/>
    </row>
    <row r="67" ht="6.6" customHeight="1">
      <c r="B67" s="73" t="n"/>
      <c r="C67" s="74" t="n"/>
      <c r="D67" s="74" t="n"/>
      <c r="E67" s="74" t="n"/>
      <c r="F67" s="193" t="n"/>
      <c r="G67" s="193" t="n"/>
      <c r="H67" s="193" t="n"/>
      <c r="I67" s="74" t="n"/>
      <c r="J67" s="74" t="n"/>
      <c r="K67" s="74" t="n"/>
      <c r="L67" s="75" t="n"/>
    </row>
    <row r="68" ht="30" customHeight="1" thickBot="1">
      <c r="B68" s="276" t="inlineStr">
        <is>
      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    </is>
      </c>
      <c r="L68" s="235" t="n"/>
    </row>
    <row r="69" ht="14.45" customFormat="1" customHeight="1" s="217" thickBot="1">
      <c r="B69" s="196" t="inlineStr">
        <is>
          <t>EL PRECIO TOTAL OFERTADO DE:</t>
        </is>
      </c>
      <c r="C69" s="238" t="n"/>
      <c r="D69" s="237" t="n"/>
      <c r="E69" s="277">
        <f>H61</f>
        <v/>
      </c>
      <c r="F69" s="125">
        <f>I61</f>
        <v/>
      </c>
      <c r="G69" s="238" t="n"/>
      <c r="H69" s="238" t="n"/>
      <c r="I69" s="238" t="n"/>
      <c r="J69" s="238" t="n"/>
      <c r="K69" s="238" t="n"/>
      <c r="L69" s="237" t="n"/>
    </row>
    <row r="70" ht="7.9" customHeight="1" thickBot="1">
      <c r="B70" s="73" t="n"/>
      <c r="C70" s="74" t="n"/>
      <c r="D70" s="74" t="n"/>
      <c r="E70" s="74" t="n"/>
      <c r="F70" s="193" t="n"/>
      <c r="G70" s="193" t="n"/>
      <c r="H70" s="193" t="n"/>
      <c r="I70" s="74" t="n"/>
      <c r="J70" s="74" t="n"/>
      <c r="K70" s="74" t="n"/>
      <c r="L70" s="75" t="n"/>
    </row>
    <row r="71" ht="42.75" customHeight="1">
      <c r="B71" s="278" t="inlineStr">
        <is>
      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    </is>
      </c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3" t="n"/>
    </row>
    <row r="72" ht="12.6" customHeight="1" thickBot="1">
      <c r="B72" s="279" t="inlineStr">
        <is>
          <t>TIPO DE PROCEDIMIENTO: ADJUNTACION</t>
        </is>
      </c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46" t="n"/>
    </row>
    <row r="73" ht="7.9" customHeight="1" thickBot="1">
      <c r="B73" s="192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194" t="n"/>
    </row>
    <row r="74" ht="34.15" customHeight="1" thickBot="1">
      <c r="B74" s="278" t="inlineStr">
        <is>
      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    </is>
      </c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3" t="n"/>
    </row>
    <row r="75" ht="33" customHeight="1" thickBot="1">
      <c r="B75" s="72" t="inlineStr">
        <is>
          <t>NOMBRE O RAZÓN SOCIAL:</t>
        </is>
      </c>
      <c r="C75" s="125">
        <f>C66</f>
        <v/>
      </c>
      <c r="D75" s="238" t="n"/>
      <c r="E75" s="237" t="n"/>
      <c r="F75" s="72" t="inlineStr">
        <is>
          <t>RFC</t>
        </is>
      </c>
      <c r="G75" s="166">
        <f>G66</f>
        <v/>
      </c>
      <c r="H75" s="72" t="inlineStr">
        <is>
          <t>DOMICILIO:</t>
        </is>
      </c>
      <c r="I75" s="125">
        <f>I66</f>
        <v/>
      </c>
      <c r="J75" s="238" t="n"/>
      <c r="K75" s="238" t="n"/>
      <c r="L75" s="237" t="n"/>
    </row>
    <row r="76" ht="27" customFormat="1" customHeight="1" s="217" thickBot="1">
      <c r="B76" s="196" t="inlineStr">
        <is>
          <t>EL PRECIO TOTAL CON IMPUESTOS APLICABLES CORRESPONDIENTE DE:</t>
        </is>
      </c>
      <c r="C76" s="238" t="n"/>
      <c r="D76" s="237" t="n"/>
      <c r="E76" s="277">
        <f>E69</f>
        <v/>
      </c>
      <c r="F76" s="125">
        <f>F69</f>
        <v/>
      </c>
      <c r="G76" s="238" t="n"/>
      <c r="H76" s="238" t="n"/>
      <c r="I76" s="238" t="n"/>
      <c r="J76" s="238" t="n"/>
      <c r="K76" s="238" t="n"/>
      <c r="L76" s="237" t="n"/>
    </row>
    <row r="77" ht="14.45" customFormat="1" customHeight="1" s="217" thickBot="1">
      <c r="B77" s="132" t="inlineStr">
        <is>
          <t>ÁREA ADMINISTRATIVA SOLICITANTE:</t>
        </is>
      </c>
      <c r="C77" s="237" t="n"/>
      <c r="D77" s="125" t="inlineStr">
        <is>
          <t>C00 306 TESORERIA</t>
        </is>
      </c>
      <c r="E77" s="238" t="n"/>
      <c r="F77" s="238" t="n"/>
      <c r="G77" s="238" t="n"/>
      <c r="H77" s="237" t="n"/>
      <c r="I77" s="132" t="inlineStr">
        <is>
          <t>CLAVE PROGRAMATICA</t>
        </is>
      </c>
      <c r="J77" s="238" t="n"/>
      <c r="K77" s="237" t="n"/>
      <c r="L77" s="78" t="inlineStr">
        <is>
          <t>105020209</t>
        </is>
      </c>
    </row>
    <row r="78" ht="26.45" customHeight="1" thickBot="1">
      <c r="B78" s="125" t="inlineStr">
        <is>
          <t>PARTIDA PRESUPUESTAL</t>
        </is>
      </c>
      <c r="C78" s="237" t="n"/>
      <c r="D78" s="124" t="inlineStr">
        <is>
          <t>8237 SERVCIOS DE TODO TIPO</t>
        </is>
      </c>
      <c r="E78" s="238" t="n"/>
      <c r="F78" s="238" t="n"/>
      <c r="G78" s="238" t="n"/>
      <c r="H78" s="238" t="n"/>
      <c r="I78" s="238" t="n"/>
      <c r="J78" s="238" t="n"/>
      <c r="K78" s="238" t="n"/>
      <c r="L78" s="237" t="n"/>
    </row>
    <row r="79" ht="9" customHeight="1" thickBot="1">
      <c r="B79" s="13" t="n"/>
      <c r="D79" s="1" t="n"/>
      <c r="J79" s="4" t="n"/>
      <c r="K79" s="79" t="n"/>
      <c r="L79" s="218" t="n"/>
    </row>
    <row r="80" ht="30" customHeight="1" thickBot="1">
      <c r="B80" s="166" t="inlineStr">
        <is>
      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    </is>
      </c>
      <c r="C80" s="238" t="n"/>
      <c r="D80" s="238" t="n"/>
      <c r="E80" s="238" t="n"/>
      <c r="F80" s="238" t="n"/>
      <c r="G80" s="238" t="n"/>
      <c r="H80" s="238" t="n"/>
      <c r="I80" s="238" t="n"/>
      <c r="J80" s="238" t="n"/>
      <c r="K80" s="238" t="n"/>
      <c r="L80" s="237" t="n"/>
    </row>
    <row r="81" ht="10.15" customHeight="1" thickBot="1">
      <c r="B81" s="13" t="n"/>
      <c r="D81" s="1" t="n"/>
      <c r="J81" s="4" t="n"/>
      <c r="K81" s="79" t="n"/>
      <c r="L81" s="218" t="n"/>
    </row>
    <row r="82" ht="12" customHeight="1">
      <c r="B82" s="280" t="inlineStr">
        <is>
          <t>ELABORÓ</t>
        </is>
      </c>
      <c r="C82" s="242" t="n"/>
      <c r="D82" s="243" t="n"/>
      <c r="E82" s="280" t="inlineStr">
        <is>
          <t>REVISÓ</t>
        </is>
      </c>
      <c r="F82" s="242" t="n"/>
      <c r="G82" s="242" t="n"/>
      <c r="H82" s="242" t="n"/>
      <c r="I82" s="243" t="n"/>
      <c r="J82" s="280" t="inlineStr">
        <is>
          <t>AUTORIZÓ</t>
        </is>
      </c>
      <c r="K82" s="242" t="n"/>
      <c r="L82" s="243" t="n"/>
    </row>
    <row r="83" ht="21" customHeight="1">
      <c r="B83" s="248" t="inlineStr">
        <is>
          <t>C. ANA LAURA ANTONIO MATEO
AUXILIAR DE ADMINISTRACIÓN</t>
        </is>
      </c>
      <c r="D83" s="235" t="n"/>
      <c r="E83" s="281" t="inlineStr">
        <is>
          <t>MTRA. YARASHED MARTÍNEZ SÁNCHEZ</t>
        </is>
      </c>
      <c r="I83" s="235" t="n"/>
      <c r="J83" s="281" t="inlineStr">
        <is>
          <t>LIC. DANIELA POPOCA RIVERA</t>
        </is>
      </c>
      <c r="L83" s="235" t="n"/>
    </row>
    <row r="84" ht="27" customHeight="1" thickBot="1">
      <c r="B84" s="256" t="n"/>
      <c r="C84" s="245" t="n"/>
      <c r="D84" s="246" t="n"/>
      <c r="E84" s="282" t="inlineStr">
        <is>
          <t>COORDINADORA DE ADMINISTRACIÓN</t>
        </is>
      </c>
      <c r="F84" s="245" t="n"/>
      <c r="G84" s="245" t="n"/>
      <c r="H84" s="245" t="n"/>
      <c r="I84" s="246" t="n"/>
      <c r="J84" s="282" t="inlineStr">
        <is>
          <t>DIRECTORA DEL SMDIF SAN FELIPE DEL PROGRESO</t>
        </is>
      </c>
      <c r="K84" s="245" t="n"/>
      <c r="L84" s="246" t="n"/>
    </row>
    <row r="85">
      <c r="B85" s="210" t="inlineStr">
        <is>
          <t>Con fundamento en los artículos 17 y 18 del Reglamento de la Ley de Contratación Pública del Estado de México y Municipios.</t>
        </is>
      </c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</row>
  </sheetData>
  <mergeCells count="132"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G32:I32"/>
    <mergeCell ref="B76:D76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E82:I82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B28:L28"/>
    <mergeCell ref="J17:L17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77:K77"/>
    <mergeCell ref="I4:J4"/>
    <mergeCell ref="B74:L74"/>
    <mergeCell ref="J43:K43"/>
    <mergeCell ref="D42:E42"/>
    <mergeCell ref="B68:L68"/>
    <mergeCell ref="K4:L4"/>
    <mergeCell ref="B83:D84"/>
    <mergeCell ref="F44:G44"/>
  </mergeCells>
  <printOptions horizontalCentered="1"/>
  <pageMargins left="0.7086614173228347" right="0.7086614173228347" top="0.7480314960629921" bottom="0.7480314960629921" header="0.3149606299212598" footer="0.3149606299212598"/>
  <pageSetup orientation="landscape" scale="81" fitToHeight="0"/>
  <headerFooter>
    <oddHeader>&amp;L&amp;G&amp;C&amp;"-,Negrita""2026 AÑO DEL HUMANISMO MEXICANO DEL ESTADO DE MÉXICO"_x000a__x000a__x000a_ESTUDIO DE MERCADO&amp;R&amp;G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F14" sqref="F14"/>
    </sheetView>
  </sheetViews>
  <sheetFormatPr baseColWidth="10" defaultColWidth="11.625" defaultRowHeight="12.75"/>
  <cols>
    <col width="11.375" customWidth="1" style="82" min="1" max="1"/>
    <col width="38.75" bestFit="1" customWidth="1" style="84" min="2" max="2"/>
    <col width="10.375" bestFit="1" customWidth="1" style="84" min="3" max="3"/>
    <col width="8.75" customWidth="1" style="85" min="4" max="4"/>
    <col width="10.25" bestFit="1" customWidth="1" style="85" min="5" max="5"/>
    <col width="11.625" customWidth="1" style="81" min="6" max="16384"/>
  </cols>
  <sheetData>
    <row r="1"/>
    <row r="2"/>
    <row r="3"/>
    <row r="4"/>
    <row r="5" ht="18" customHeight="1">
      <c r="A5" s="223" t="n"/>
    </row>
    <row r="6" ht="16.5" customHeight="1">
      <c r="A6" s="224" t="n"/>
    </row>
    <row r="7">
      <c r="B7" s="82" t="n"/>
      <c r="C7" s="82" t="n"/>
      <c r="D7" s="82" t="n"/>
      <c r="E7" s="82" t="n"/>
    </row>
    <row r="8">
      <c r="A8" s="83" t="n"/>
      <c r="B8" s="225" t="inlineStr">
        <is>
          <t>Toluca a</t>
        </is>
      </c>
      <c r="D8" s="226" t="inlineStr">
        <is>
          <t>7 de agosto de 2026.</t>
        </is>
      </c>
    </row>
    <row r="9">
      <c r="A9" s="83" t="n"/>
      <c r="B9" s="83" t="n"/>
      <c r="C9" s="83" t="n"/>
      <c r="D9" s="83" t="n"/>
      <c r="E9" s="83" t="n"/>
    </row>
    <row r="10">
      <c r="A10" s="227" t="inlineStr">
        <is>
          <t>SISTEMA MUNICIPAL DIF DE SAN FELIPE DEL PROGRESO</t>
        </is>
      </c>
    </row>
    <row r="11">
      <c r="A11" s="227" t="inlineStr">
        <is>
          <t>MTRA. YARASHED MARTÍNEZ SÁNCHEZ</t>
        </is>
      </c>
    </row>
    <row r="12">
      <c r="A12" s="227" t="inlineStr">
        <is>
          <t>COORDINADORA DE ADMINISTRACIÓN</t>
        </is>
      </c>
    </row>
    <row r="13">
      <c r="A13" s="228" t="inlineStr">
        <is>
          <t>PRESENTE</t>
        </is>
      </c>
    </row>
    <row r="14" ht="13.5" customHeight="1">
      <c r="A14" s="229" t="inlineStr">
        <is>
          <t>POR MEDIO DEL PRESENTE RECIBA UN CORDIAL SALUDO, ASÍ MISMO ENVIAMOS LA SIGUIENTE:</t>
        </is>
      </c>
    </row>
    <row r="15">
      <c r="B15" s="82" t="n"/>
      <c r="C15" s="82" t="n"/>
      <c r="D15" s="82" t="n"/>
      <c r="E15" s="82" t="n"/>
    </row>
    <row r="16">
      <c r="A16" s="230" t="inlineStr">
        <is>
          <t>COTIZACIÓN</t>
        </is>
      </c>
    </row>
    <row r="17"/>
    <row r="18" ht="25.5" customHeight="1">
      <c r="A18" s="86" t="inlineStr">
        <is>
          <t>UNIDAD DE MEDIDA</t>
        </is>
      </c>
      <c r="B18" s="86" t="inlineStr">
        <is>
          <t>CONCEPTO</t>
        </is>
      </c>
      <c r="C18" s="86" t="inlineStr">
        <is>
          <t>CANTIDAD</t>
        </is>
      </c>
      <c r="D18" s="87" t="inlineStr">
        <is>
          <t>COSTO UNITARIO</t>
        </is>
      </c>
      <c r="E18" s="87" t="inlineStr">
        <is>
          <t>IMPORTE</t>
        </is>
      </c>
    </row>
    <row r="19" ht="23.25" customHeight="1">
      <c r="A19" s="88" t="n"/>
      <c r="B19" s="89">
        <f>Hoja1!C46</f>
        <v/>
      </c>
      <c r="C19" s="88" t="n"/>
      <c r="D19" s="90">
        <f>Hoja1!F46</f>
        <v/>
      </c>
      <c r="E19" s="90">
        <f>C19*D19</f>
        <v/>
      </c>
    </row>
    <row r="20">
      <c r="A20" s="88" t="n"/>
      <c r="B20" s="89">
        <f>Hoja1!C47</f>
        <v/>
      </c>
      <c r="C20" s="88" t="n"/>
      <c r="D20" s="90">
        <f>Hoja1!F47</f>
        <v/>
      </c>
      <c r="E20" s="90">
        <f>C20*D20</f>
        <v/>
      </c>
    </row>
    <row r="21" ht="26.25" customHeight="1">
      <c r="A21" s="88" t="n"/>
      <c r="B21" s="89">
        <f>Hoja1!C48</f>
        <v/>
      </c>
      <c r="C21" s="88" t="n"/>
      <c r="D21" s="90">
        <f>Hoja1!F48</f>
        <v/>
      </c>
      <c r="E21" s="90">
        <f>C21*D21</f>
        <v/>
      </c>
    </row>
    <row r="22">
      <c r="A22" s="88" t="n"/>
      <c r="B22" s="89">
        <f>Hoja1!C49</f>
        <v/>
      </c>
      <c r="C22" s="88" t="n"/>
      <c r="D22" s="90">
        <f>Hoja1!F49</f>
        <v/>
      </c>
      <c r="E22" s="90">
        <f>C22*D22</f>
        <v/>
      </c>
    </row>
    <row r="23">
      <c r="A23" s="231" t="inlineStr">
        <is>
          <t>IMPORTE CON LETRA:</t>
        </is>
      </c>
      <c r="B23" s="283" t="n"/>
      <c r="C23" s="91" t="n"/>
      <c r="D23" s="92" t="inlineStr">
        <is>
          <t>SUBTOTAL</t>
        </is>
      </c>
      <c r="E23" s="93">
        <f>SUM(E19:E22)</f>
        <v/>
      </c>
    </row>
    <row r="24">
      <c r="A24" s="222" t="inlineStr">
        <is>
          <t>CINCO MIL DOSCIENTOS VEINTE PESOS 00/100 M.N.</t>
        </is>
      </c>
      <c r="D24" s="92" t="inlineStr">
        <is>
          <t>I.V.A.</t>
        </is>
      </c>
      <c r="E24" s="93" t="n"/>
      <c r="H24" s="94" t="n"/>
    </row>
    <row r="25">
      <c r="D25" s="92" t="inlineStr">
        <is>
          <t>TOTAL</t>
        </is>
      </c>
      <c r="E25" s="95">
        <f>SUM(E23:E24)</f>
        <v/>
      </c>
    </row>
    <row r="26"/>
    <row r="27" ht="13.5" customHeight="1">
      <c r="A27" s="232" t="inlineStr">
        <is>
          <t>CONDICIONES COMERCIALES:</t>
        </is>
      </c>
    </row>
    <row r="28" ht="13.5" customHeight="1">
      <c r="A28" s="96" t="n"/>
      <c r="B28" s="96" t="n"/>
      <c r="C28" s="97" t="n"/>
      <c r="D28" s="98" t="n"/>
      <c r="E28" s="98" t="n"/>
    </row>
    <row r="29" ht="13.5" customHeight="1">
      <c r="A29" s="99" t="inlineStr">
        <is>
          <t xml:space="preserve">LUGAR DE LA PRESTACIÓN DEL SERVICIO O ENTREGA DE BIENES: </t>
        </is>
      </c>
      <c r="B29" s="99" t="n"/>
      <c r="C29" s="97" t="n"/>
      <c r="D29" s="98" t="n"/>
      <c r="E29" s="98" t="n"/>
    </row>
    <row r="30" ht="27" customHeight="1">
      <c r="A30" s="233" t="n"/>
    </row>
    <row r="31" ht="13.5" customHeight="1">
      <c r="A31" s="234" t="inlineStr">
        <is>
          <t>FORMA DE PAGO:</t>
        </is>
      </c>
      <c r="C31" s="97" t="n"/>
      <c r="D31" s="98" t="n"/>
      <c r="E31" s="98" t="n"/>
    </row>
    <row r="32" ht="55.5" customHeight="1">
      <c r="A32" s="233" t="n"/>
    </row>
    <row r="33" ht="13.5" customHeight="1">
      <c r="A33" s="99" t="inlineStr">
        <is>
          <t>PLAZO DE ENTREGA DE LOS BIENES Y/O SERVICIOS:</t>
        </is>
      </c>
      <c r="B33" s="97" t="n"/>
      <c r="C33" s="97" t="n"/>
      <c r="D33" s="98" t="n"/>
      <c r="E33" s="98" t="n"/>
    </row>
    <row r="34" ht="13.5" customHeight="1">
      <c r="A34" s="233" t="inlineStr">
        <is>
          <t>DENTRO DE LOS 30 DIAS HABILES POSTERIORES A LA CONFIRMACIÓN DEL PEDIDO O FIRMA DEL CONTRATO.</t>
        </is>
      </c>
    </row>
    <row r="35" ht="13.5" customHeight="1">
      <c r="A35" s="234" t="inlineStr">
        <is>
          <t>VIGENCIA DE LA COTIZACIÓN:</t>
        </is>
      </c>
      <c r="C35" s="97" t="n"/>
      <c r="D35" s="98" t="n"/>
      <c r="E35" s="98" t="n"/>
    </row>
    <row r="36" ht="13.5" customHeight="1">
      <c r="A36" s="229" t="inlineStr">
        <is>
          <t>45 DIAS POSTERIORES A SU EMISIÓN</t>
        </is>
      </c>
    </row>
    <row r="37" ht="13.5" customHeight="1">
      <c r="A37" s="96" t="n"/>
      <c r="B37" s="97" t="n"/>
      <c r="C37" s="97" t="n"/>
      <c r="D37" s="98" t="n"/>
      <c r="E37" s="98" t="n"/>
    </row>
    <row r="38" ht="13.5" customHeight="1">
      <c r="A38" s="229" t="inlineStr">
        <is>
          <t>SIN MAS POR EL MOMENTO Y EN ESPERA DE VERNOS FAVORECIDO QUEDO DE USTED.</t>
        </is>
      </c>
    </row>
    <row r="39" ht="13.5" customHeight="1">
      <c r="A39" s="96" t="n"/>
      <c r="B39" s="97" t="n"/>
      <c r="C39" s="97" t="n"/>
      <c r="D39" s="98" t="n"/>
      <c r="E39" s="98" t="n"/>
    </row>
    <row r="40" ht="13.5" customHeight="1">
      <c r="A40" s="96" t="n"/>
      <c r="B40" s="232" t="inlineStr">
        <is>
          <t>ATENTAMENTE</t>
        </is>
      </c>
      <c r="C40" s="97" t="n"/>
      <c r="D40" s="98" t="n"/>
      <c r="E40" s="98" t="n"/>
    </row>
    <row r="41" ht="26.25" customHeight="1">
      <c r="A41" s="96" t="n"/>
      <c r="B41" s="101" t="n"/>
      <c r="C41" s="97" t="n"/>
      <c r="D41" s="98" t="n"/>
      <c r="E41" s="98" t="n"/>
    </row>
    <row r="42">
      <c r="A42" s="102" t="n"/>
      <c r="B42" s="103" t="n"/>
      <c r="C42" s="103" t="n"/>
      <c r="D42" s="104" t="n"/>
      <c r="E42" s="104" t="n"/>
    </row>
  </sheetData>
  <mergeCells count="20"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  <mergeCell ref="A5:E5"/>
    <mergeCell ref="A32:E32"/>
    <mergeCell ref="A23:B23"/>
    <mergeCell ref="A14:E14"/>
    <mergeCell ref="A35:B35"/>
    <mergeCell ref="D8:E8"/>
    <mergeCell ref="A38:E38"/>
    <mergeCell ref="A10:E10"/>
    <mergeCell ref="A13:E1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analau.antonio@gmail.com</dc:creator>
  <dcterms:created xsi:type="dcterms:W3CDTF">2026-08-13T18:59:13Z</dcterms:created>
  <dcterms:modified xsi:type="dcterms:W3CDTF">2026-09-02T16:58:05Z</dcterms:modified>
  <cp:lastModifiedBy>Kevin Valdemar</cp:lastModifiedBy>
  <cp:lastPrinted>2026-08-13T20:18:48Z</cp:lastPrinted>
</cp:coreProperties>
</file>