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yectos\SistemaEstudiosMercados\documentos\"/>
    </mc:Choice>
  </mc:AlternateContent>
  <bookViews>
    <workbookView xWindow="-120" yWindow="-120" windowWidth="29040" windowHeight="15720"/>
  </bookViews>
  <sheets>
    <sheet name="Hoja1" sheetId="1" r:id="rId1"/>
    <sheet name="Hoja2" sheetId="2" r:id="rId2"/>
  </sheets>
  <calcPr calcId="152511"/>
</workbook>
</file>

<file path=xl/calcChain.xml><?xml version="1.0" encoding="utf-8"?>
<calcChain xmlns="http://schemas.openxmlformats.org/spreadsheetml/2006/main">
  <c r="D22" i="2" l="1"/>
  <c r="E22" i="2" s="1"/>
  <c r="B22" i="2"/>
  <c r="D21" i="2"/>
  <c r="E21" i="2" s="1"/>
  <c r="B21" i="2"/>
  <c r="E20" i="2"/>
  <c r="D20" i="2"/>
  <c r="B20" i="2"/>
  <c r="D19" i="2"/>
  <c r="E19" i="2" s="1"/>
  <c r="E23" i="2" s="1"/>
  <c r="E25" i="2" s="1"/>
  <c r="B19" i="2"/>
  <c r="I75" i="1"/>
  <c r="G75" i="1"/>
  <c r="C75" i="1"/>
  <c r="F69" i="1"/>
  <c r="F76" i="1" s="1"/>
  <c r="H61" i="1"/>
  <c r="E69" i="1" s="1"/>
  <c r="E76" i="1" s="1"/>
  <c r="G58" i="1"/>
  <c r="K57" i="1"/>
  <c r="K58" i="1" s="1"/>
  <c r="K56" i="1"/>
  <c r="I56" i="1"/>
  <c r="I57" i="1" s="1"/>
  <c r="I58" i="1" s="1"/>
  <c r="G56" i="1"/>
  <c r="K55" i="1"/>
  <c r="G55" i="1"/>
  <c r="L50" i="1"/>
  <c r="L49" i="1"/>
  <c r="I49" i="1"/>
  <c r="G49" i="1"/>
  <c r="H43" i="1"/>
  <c r="I55" i="1" s="1"/>
  <c r="F43" i="1"/>
</calcChain>
</file>

<file path=xl/comments1.xml><?xml version="1.0" encoding="utf-8"?>
<comments xmlns="http://schemas.openxmlformats.org/spreadsheetml/2006/main">
  <authors>
    <author>DELL</author>
  </authors>
  <commentList>
    <comment ref="B42" authorId="0" shapeId="0">
      <text>
        <r>
          <rPr>
            <sz val="11"/>
            <color theme="1"/>
            <rFont val="Aptos Narrow"/>
            <family val="2"/>
            <scheme val="minor"/>
          </rPr>
          <t xml:space="preserve">DELL:
</t>
        </r>
      </text>
    </comment>
  </commentList>
</comments>
</file>

<file path=xl/sharedStrings.xml><?xml version="1.0" encoding="utf-8"?>
<sst xmlns="http://schemas.openxmlformats.org/spreadsheetml/2006/main" count="165" uniqueCount="106">
  <si>
    <t>FECHA DE ELABORACIÓN:</t>
  </si>
  <si>
    <t>31 de agosto 2026</t>
  </si>
  <si>
    <t>EXPEDIENTE No.:</t>
  </si>
  <si>
    <t>EJEMPLO_0122</t>
  </si>
  <si>
    <t>CON FUNDAMENTO EN LOS ARITUCULOS 3 FRACCION IV DE LA LEY CONTRATACION PUBLICA DEL ESTADO DE MEXICOY MUNICIPIOS , 17 Y 18 DE SU REGLAMENTO LA DIRECCION DE ADMINISTRACIÓN, A TRAVES DE LA UNIDAD DE ADQUISICIONES Y RECURSOS MATERIALES, DIO INICIO AL ESTUDIO DE MERCADO PARA LA (ADQUISICION O PRESTACION DEL SERVICIO), A FIN DE VERIFICAR LA EXISTENCIA DE (BIEN O SERVICIO), ASI COMO DE (PROVEEDORES O PRESTADORES DE SERVICIOS) A NIVEL (LOCAL, NACIONAL O INTERNACIONAL), PARA ASEGURAR LAS MEJORES CONDICIONES PARA EL MUNICIPIO DE ACAMBAY DE RUIZ CASTAÑEDA EN CUANTO A PRECIO, CALIDAD, OPORTUNIDAD, CANTIDAD, Y DEMAS CARACTERISTICAS SOLICITADAS.</t>
  </si>
  <si>
    <t>CABE MENCIONAR QUE DICHA (ADQUISICION, O CONTRATACION DEL SERVICIO) SE ENCUENTRA CONSIDERADO EN EL PROGRAMA ANUAL DE ADQUISICIONES Y SERVICIOS 2026</t>
  </si>
  <si>
    <t>ÁREA ADMINISTRATIVA USUARIA</t>
  </si>
  <si>
    <t>G00 303 CONTRALORIA HONORIFICA</t>
  </si>
  <si>
    <t>CLAVE PROGRAMATICA:</t>
  </si>
  <si>
    <t>103040101</t>
  </si>
  <si>
    <t>PARTIDA PRESUPUESTAL</t>
  </si>
  <si>
    <t>9283 SERVICIO DE AGUAS</t>
  </si>
  <si>
    <t xml:space="preserve">OBJETO DE LA CONTRATACIÓN Y/O ADQUISICIÓN: </t>
  </si>
  <si>
    <t>CONTRATACION DE LOS SERVICIOS CORRESPONDIENTES</t>
  </si>
  <si>
    <t>FUENTES CONSULTADAS
CON LA FINALIDAD DE DAR CUMPLIMIENTO A LO ESTABLECIDO EN LOS ARTICULOS 17 Y 18 DEL REGLAMENTO DE LA LEY CONTRATACION PUBLICA DEL ESTADO DE MEXICOY MUNICIPIOS, EL DEPARTAMENTO DE ADQUISICIONES REALIZO EL ESTUDIO DE MERCADO PARA DETERMINAR LA EXISTENCIA DE (BIENES O SERVICIOS) Y (PROVEEDORES O PRESTADORES DE SERVICIOS), ASI COMO CONOCER EL PRECIO QUE PREVALECE EN EL MERCADO, ENVIANDO INVITACIONES PARA COTIZAR A:</t>
  </si>
  <si>
    <t>N.P</t>
  </si>
  <si>
    <t>PERSONA FISICA O JURIDICO COLECTIVA CONSULTADA</t>
  </si>
  <si>
    <t>NUMERO TELEFONICO DE CONTACTO</t>
  </si>
  <si>
    <t>SE ENCUENTRA REGISTRADA EN EL PADRON DE PROVEEDORES DEL MUNICIPIO</t>
  </si>
  <si>
    <t>Gabriel Lopez Crisostomo</t>
  </si>
  <si>
    <t>7122893019</t>
  </si>
  <si>
    <t>SI</t>
  </si>
  <si>
    <t>Santiago Lopez Cruz</t>
  </si>
  <si>
    <t>8120381738</t>
  </si>
  <si>
    <t>DE CONFORMIDAD CON LO ESTABLECIDO EN LA LEY DE CONTRATACION PUBLICA DEL ESTADO DE MEXICO Y MUNICIPIOS Y SU REGLAMENTO, SE LLEVA A CABO LA ELABORACION DE ESTUDIO DE MERCADO, CON LA INFORMACION OBTENIDA DE LAS FUENTES ANTERIORES MENCIONADAS; DETERMINANDO LO SIGUIENTE:</t>
  </si>
  <si>
    <t xml:space="preserve">A. CANTIDAD
DE LOS (PROVEEDORES O PRESTADORES DE SERVICIO) CONSULTADOS, LOS SIGUIENTES COTIZARON LOS (BIENES O SERVICIOS) SOLICITADOS: </t>
  </si>
  <si>
    <t>CUMPLE</t>
  </si>
  <si>
    <t>B. CALIDAD
DE LOS (PROVEEDORES O PRESTADORES DE SERVICIO) CONSULTADOS, LOS SIGUIENTES CUMPLEN CON LAS ESPECIFICACIONES TECNICAS DE LOS (BIENES O SERVICIOS) SOLICITADOS:</t>
  </si>
  <si>
    <t>NO</t>
  </si>
  <si>
    <t>C. OPORTUNIDAD
DE LOS (PROVEEDORES O PRESTADORES DE SERVICIO) CONSULTADOS, LOS SIGUIENTES CUMPLEN CON LAS ESPECIFICACIONES ADMINISTRATIVAS Y PARAMETROS DE REFERENCIA, RELATIVOS A LOS (BIENES O SERVICIOS) SOLICITADOS:</t>
  </si>
  <si>
    <t>ALCANCE:
DE ACUERDO CON LAS COTIZACIONES OBTENIDAS, PARA DETERMINAR LA EXISTENCIA DEL (BIEN O SERVICIO) Y DE (PROVEEDORES O PRESTADORES DE SERVICIOS), ASI COMO CONOCER EL PRECIO QUE PREVALECE EN EL MERCADO, SE PRESENTA EL SIGUIENTE ESTUDIO DE MERCADO:</t>
  </si>
  <si>
    <t>FECHA</t>
  </si>
  <si>
    <t>COTIZACIÓN 1</t>
  </si>
  <si>
    <t>COTIZACIÓN 2</t>
  </si>
  <si>
    <t>COTIZACION 3</t>
  </si>
  <si>
    <t>MARC5712047Y6</t>
  </si>
  <si>
    <t>REAB940910Q31</t>
  </si>
  <si>
    <t xml:space="preserve">DESCRIPCION </t>
  </si>
  <si>
    <t>UNIDAD DE MEDIDA</t>
  </si>
  <si>
    <t>CANTIDAD</t>
  </si>
  <si>
    <t>PRECIO UNITARIO</t>
  </si>
  <si>
    <t>IMPORTE</t>
  </si>
  <si>
    <t>PRECIO PROMEDIO  DE REFERENCIA</t>
  </si>
  <si>
    <t>SERVER1</t>
  </si>
  <si>
    <t>SERVICIO</t>
  </si>
  <si>
    <t>SERVER 2</t>
  </si>
  <si>
    <t>SERVER</t>
  </si>
  <si>
    <t>SERVICIO DE DESINFECCIÓN EN COMEDOR COMUNITARIO</t>
  </si>
  <si>
    <t>SUBTOTAL</t>
  </si>
  <si>
    <t>I.V.A.</t>
  </si>
  <si>
    <t>TOTAL</t>
  </si>
  <si>
    <t xml:space="preserve">CONDICIONES COMERCIALES </t>
  </si>
  <si>
    <t>CUMPLEN CON LAS CONDICIONES COMERCIALES (SI/NO)</t>
  </si>
  <si>
    <t>LUGAR DE ENTREGA DE LOS BIENES Y/O SERVICIOS:</t>
  </si>
  <si>
    <t>DIF</t>
  </si>
  <si>
    <t>PLAZO DE ENTREGA O VIGENCIA:</t>
  </si>
  <si>
    <t>2 DIAS</t>
  </si>
  <si>
    <t>No</t>
  </si>
  <si>
    <t>FORMA DE PAGO:</t>
  </si>
  <si>
    <t>TESORERIA</t>
  </si>
  <si>
    <t>FUNDAMENTO EN LOS ARTÍCULOS 17 Y 18 DEL REGLAMENTO DE LA LEY DE CONTRATACIÓN PÚBLICA DEL ESTADO DE MÉXICO Y MUNICIPIOS.:
Artículo 18.- Los precios de referencia se determinarán mediante el promedio de al menos dos cotizaciones de los fabricantes, distribuidores o comercializadoras y cámaras del ramo correspondiente, que se deberán obtener por escrito, o a través de los medios electrónicos disponibles o mediante el estudio de precios, considerando las mismas condiciones en cuanto a cantidades, plazos y lugares de entrega de los bienes o de la prestación de los servicios, la forma y términos de pago, las características técnicas de los bienes o servicios y las demás condiciones que resulten aplicables y que permitan una comparación objetiva. 
Cuando no se puedan obtener las cotizaciones referidas en el párrafo anterior, por razones de titularidad de patentes, registros, derechos de autor o derechos exclusivos; mantenimientos correctivos; o porque las empresas o particulares no tengan interés en emitirlas; o bien, porque el área usuaria no lo considere conveniente por motivos de confidencialidad de la información o porque ponga en riesgo la seguridad del Estado, se podrá utilizar como precio de mercado el monto comprometido señalado en las solicitudes de adquisiciones de bienes o servicios, que se haya determinado con base en documentos de índole comercial, relacionados con bienes o servicios similares que tengan registrados las unidades administrativas solicitantes.</t>
  </si>
  <si>
    <t>EL PRECIO DE REFERENCIA CON IVA INCLUIDO OBTENIDO EN EL ESTUDIO DE MERCADO ASCIENDE A LA CANTIDAD DE:</t>
  </si>
  <si>
    <t>SEISCIENTOS SETENTA PESOS 48/100 M.N.</t>
  </si>
  <si>
    <t>RESULTADO DEL ESTUDIO DE MERCADO Y AUTORIZACION DE INICIACIÓN DEL PROCEDIMIENTO ADQUISITIVO</t>
  </si>
  <si>
    <t>PRIMERO. EXISTENCIA DE PROVEEDORES. EL ESTUDIO DE MERCADO ACREDITA LA EXISTENCIA DE AL MENOS DOS PROVEEDORES Y/O PRESTADORES DE SERVICIOS EN EL MERCADO CON CAPACIDAD PARA SUMINISTRAR LOS BIENES O SERVICIOS REQUERIDOS. EL PROVEEDOR O PRESTADOR DE SERVICIOS QUE REÚNE LA INTEGRALIDAD DE LOS REQUISITOS TÉCNICOS Y OFRECE LAS MEJORES CONDICIONES FINANCIERAS ES EL SIGUIENTE:</t>
  </si>
  <si>
    <t>NOMBRE O RAZÓN SOCIAL:</t>
  </si>
  <si>
    <t>RFC</t>
  </si>
  <si>
    <t>HGF29JL0993</t>
  </si>
  <si>
    <t>DOMICILIO:</t>
  </si>
  <si>
    <t>LA ARRINCONADA</t>
  </si>
  <si>
    <t>SEGUNDO. PRECIO RAZONABLE Y DE MERCADO. SE ENCUENTRA DENTRO DEL RANGO DE PRECIOS VERIFICADO MEDIANTE LAS FUENTES CONSULTADAS, NO EXCEDE EL UMBRAL DE $500,000.00 M.N. ESTABLECIDO PARA ADJUDICACIÓN DIRECTA, Y RESULTA EL MÁS COMPETITIVO ENTRE LOS PROVEEDORES QUE CUMPLEN LOS REQUISITOS TÉCNICOS.</t>
  </si>
  <si>
    <t>EL PRECIO TOTAL OFERTADO DE:</t>
  </si>
  <si>
    <t>TERCERO. DERIVADO DE LO ANTERIOR, CON BASE EN LOS ARTICULOS 48 FRACCIÓN XI DE LA LEY DE CONTRATACION PUBLICA DEL ESTADO DE MEXICO Y MUNICIPIOS Y SU REGLAMENTO, Y LOS MONTOS PUBLICADOS EN EL PRESUPUESTO DE EGRESOS DEL GOBIERNO DEL ESTADO DE MÉXICO PARA EL EJERCICIO FISCAL 2026, PARA LLEVAR A CABO LOS PROCEDIMIENTOS DE ADQUISICION DE BIENES Y/O CONTRATACION DE SERVICIOS EN SUS DISTINTAS MODALIDADES, CORRESPONDIENTES AL EJERCICIO FISCAL 2026, SE DETERMINA QUE EL PROCEDIMIENTO DE ADQUISITIVO QUE SE LLEVARA A CABO SERA MEDIANTE LA SIGUIENTE MODALIDAD:</t>
  </si>
  <si>
    <t>TIPO DE PROCEDIMIENTO: ADJUDICACIÓN DIRECTA POR CONTRATO PEDIDO</t>
  </si>
  <si>
    <t>QUINTO – DETERMINACIÓN: CON BASE EN LOS RESULTADOS DEL PRESENTE ESTUDIO DE MERCADO, ESTA DIRECCIÓN DE ADMINISTRACIÓN DETERMINA PROCEDENTE LA ADJUDICACIÓN DIRECTA  AL SIGUIENTE PROVEEDOR O PRESTADOR DE SERVICIOS, AL AMPARO DEL ARTÍCULO 48, FRACCIÓN XI DE LA LEY DE CONTRATACIÓN PÚBLICA DEL ESTADO DE MÉXICO Y MUNICIPIOS.</t>
  </si>
  <si>
    <t>EL PRECIO TOTAL CON IMPUESTOS APLICABLES CORRESPONDIENTE DE:</t>
  </si>
  <si>
    <t>ÁREA ADMINISTRATIVA SOLICITANTE:</t>
  </si>
  <si>
    <t>CLAVE PROGRAMATICA</t>
  </si>
  <si>
    <t>SEXTO – EXPUESTO LO ANTERIOR, ESTA DIRECCIÓN DE ADMINISTRACIÓN AUTORIZA DAR INICIO AL PROCEDICIENTO DE ADQUISICIÓN DE BIENES O CONTRATACIÓN DE SERVICIOS AL TITULAR DE LA UNIDAD DE ADQUISICIONES Y RECURSOS MATERIALES DANDO CUMPLIMIENTO A LO ESTABLECIDO EN LA LEY DE CONTRATACIÓN PÚBLICA DEL ESTADO DE MÉXICO Y MUNICIPIOS Y SU REGLAMENTO.</t>
  </si>
  <si>
    <t>ELABORÓ</t>
  </si>
  <si>
    <t>REVISÓ</t>
  </si>
  <si>
    <t>AUTORIZÓ</t>
  </si>
  <si>
    <t>C. ANA LAURA ANTONIO MATEO
AUXILIAR DE ADMINISTRACIÓN</t>
  </si>
  <si>
    <t>MTRA. YARASHED MARTÍNEZ SÁNCHEZ</t>
  </si>
  <si>
    <t>LIC. DANIELA POPOCA RIVERA</t>
  </si>
  <si>
    <t>COORDINADORA DE ADMINISTRACIÓN</t>
  </si>
  <si>
    <t>DIRECTORA DEL SMDIF SAN FELIPE DEL PROGRESO</t>
  </si>
  <si>
    <t>Con fundamento en los artículos 17 y 18 del Reglamento de la Ley de Contratación Pública del Estado de México y Municipios.</t>
  </si>
  <si>
    <t>Toluca a</t>
  </si>
  <si>
    <t>7 de agosto de 2026.</t>
  </si>
  <si>
    <t>SISTEMA MUNICIPAL DIF DE SAN FELIPE DEL PROGRESO</t>
  </si>
  <si>
    <t>PRESENTE</t>
  </si>
  <si>
    <t>POR MEDIO DEL PRESENTE RECIBA UN CORDIAL SALUDO, ASÍ MISMO ENVIAMOS LA SIGUIENTE:</t>
  </si>
  <si>
    <t>COTIZACIÓN</t>
  </si>
  <si>
    <t>CONCEPTO</t>
  </si>
  <si>
    <t>COSTO UNITARIO</t>
  </si>
  <si>
    <t>IMPORTE CON LETRA:</t>
  </si>
  <si>
    <t>CINCO MIL DOSCIENTOS VEINTE PESOS 00/100 M.N.</t>
  </si>
  <si>
    <t>CONDICIONES COMERCIALES:</t>
  </si>
  <si>
    <t xml:space="preserve">LUGAR DE LA PRESTACIÓN DEL SERVICIO O ENTREGA DE BIENES: </t>
  </si>
  <si>
    <t>PLAZO DE ENTREGA DE LOS BIENES Y/O SERVICIOS:</t>
  </si>
  <si>
    <t>DENTRO DE LOS 30 DIAS HABILES POSTERIORES A LA CONFIRMACIÓN DEL PEDIDO O FIRMA DEL CONTRATO.</t>
  </si>
  <si>
    <t>VIGENCIA DE LA COTIZACIÓN:</t>
  </si>
  <si>
    <t>45 DIAS POSTERIORES A SU EMISIÓN</t>
  </si>
  <si>
    <t>SIN MAS POR EL MOMENTO Y EN ESPERA DE VERNOS FAVORECIDO QUEDO DE USTED.</t>
  </si>
  <si>
    <t>ATENTAMENTE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</si>
</sst>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-80A]d&quot; de &quot;mmmm&quot; de &quot;yyyy;@"/>
    <numFmt numFmtId="166" formatCode="\$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indexed="8"/>
      <name val="Aptos Narrow"/>
      <family val="2"/>
      <scheme val="minor"/>
    </font>
    <font>
      <sz val="8"/>
      <color rgb="FF000000"/>
      <name val="Calibri"/>
      <family val="2"/>
    </font>
    <font>
      <sz val="8"/>
      <name val="Aptos Narrow"/>
      <family val="2"/>
      <scheme val="minor"/>
    </font>
    <font>
      <sz val="14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374370555742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18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164" fontId="2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4" fontId="3" fillId="0" borderId="5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164" fontId="3" fillId="3" borderId="9" xfId="0" applyNumberFormat="1" applyFont="1" applyFill="1" applyBorder="1" applyAlignment="1">
      <alignment horizontal="center" vertical="center" wrapText="1"/>
    </xf>
    <xf numFmtId="1" fontId="7" fillId="4" borderId="9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 wrapText="1"/>
    </xf>
    <xf numFmtId="164" fontId="2" fillId="4" borderId="9" xfId="1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horizontal="right" vertical="center" wrapText="1"/>
    </xf>
    <xf numFmtId="164" fontId="9" fillId="4" borderId="9" xfId="2" applyNumberFormat="1" applyFont="1" applyFill="1" applyBorder="1" applyAlignment="1">
      <alignment horizontal="right" vertical="center" wrapText="1"/>
    </xf>
    <xf numFmtId="164" fontId="2" fillId="4" borderId="9" xfId="0" applyNumberFormat="1" applyFont="1" applyFill="1" applyBorder="1" applyAlignment="1">
      <alignment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15" xfId="0" applyFont="1" applyFill="1" applyBorder="1" applyAlignment="1">
      <alignment horizontal="right" vertical="center" wrapText="1"/>
    </xf>
    <xf numFmtId="164" fontId="2" fillId="4" borderId="15" xfId="0" applyNumberFormat="1" applyFont="1" applyFill="1" applyBorder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2" fillId="4" borderId="16" xfId="0" applyFont="1" applyFill="1" applyBorder="1" applyAlignment="1">
      <alignment horizontal="right" vertical="center" wrapText="1"/>
    </xf>
    <xf numFmtId="164" fontId="2" fillId="4" borderId="16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horizontal="right" vertical="center" wrapText="1"/>
    </xf>
    <xf numFmtId="164" fontId="2" fillId="4" borderId="18" xfId="0" applyNumberFormat="1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11" xfId="0" applyFont="1" applyBorder="1" applyAlignment="1">
      <alignment horizontal="right" vertical="center" wrapText="1"/>
    </xf>
    <xf numFmtId="164" fontId="3" fillId="0" borderId="8" xfId="2" applyNumberFormat="1" applyFont="1" applyBorder="1" applyAlignment="1">
      <alignment horizontal="right" wrapText="1"/>
    </xf>
    <xf numFmtId="164" fontId="2" fillId="0" borderId="11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wrapText="1"/>
    </xf>
    <xf numFmtId="164" fontId="3" fillId="0" borderId="12" xfId="2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top" wrapText="1"/>
    </xf>
    <xf numFmtId="0" fontId="2" fillId="0" borderId="0" xfId="0" applyFont="1" applyAlignment="1">
      <alignment horizontal="justify" vertical="top" wrapText="1"/>
    </xf>
    <xf numFmtId="0" fontId="2" fillId="0" borderId="5" xfId="0" applyFont="1" applyBorder="1" applyAlignment="1">
      <alignment horizontal="justify" vertical="top" wrapText="1"/>
    </xf>
    <xf numFmtId="0" fontId="3" fillId="5" borderId="9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164" fontId="2" fillId="0" borderId="9" xfId="0" applyNumberFormat="1" applyFont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2" fillId="0" borderId="0" xfId="0" applyFont="1"/>
    <xf numFmtId="164" fontId="12" fillId="0" borderId="0" xfId="0" applyNumberFormat="1" applyFont="1"/>
    <xf numFmtId="0" fontId="16" fillId="0" borderId="19" xfId="0" applyFont="1" applyBorder="1" applyAlignment="1">
      <alignment horizontal="center" wrapText="1"/>
    </xf>
    <xf numFmtId="164" fontId="16" fillId="0" borderId="19" xfId="0" applyNumberFormat="1" applyFont="1" applyBorder="1" applyAlignment="1">
      <alignment horizont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justify" vertical="center" wrapText="1"/>
    </xf>
    <xf numFmtId="164" fontId="17" fillId="0" borderId="19" xfId="0" applyNumberFormat="1" applyFont="1" applyBorder="1" applyAlignment="1">
      <alignment vertical="center" wrapText="1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4" fontId="17" fillId="0" borderId="19" xfId="0" applyNumberFormat="1" applyFont="1" applyBorder="1" applyAlignment="1">
      <alignment vertical="center"/>
    </xf>
    <xf numFmtId="14" fontId="2" fillId="0" borderId="0" xfId="0" applyNumberFormat="1" applyFont="1"/>
    <xf numFmtId="164" fontId="16" fillId="0" borderId="19" xfId="0" applyNumberFormat="1" applyFont="1" applyBorder="1" applyAlignment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164" fontId="15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166" fontId="2" fillId="4" borderId="9" xfId="1" applyNumberFormat="1" applyFont="1" applyFill="1" applyBorder="1" applyAlignment="1">
      <alignment horizontal="right" vertical="center" wrapText="1"/>
    </xf>
    <xf numFmtId="166" fontId="2" fillId="4" borderId="9" xfId="0" applyNumberFormat="1" applyFont="1" applyFill="1" applyBorder="1" applyAlignment="1">
      <alignment horizontal="right" vertical="center" wrapText="1"/>
    </xf>
    <xf numFmtId="166" fontId="9" fillId="4" borderId="9" xfId="2" applyNumberFormat="1" applyFont="1" applyFill="1" applyBorder="1" applyAlignment="1">
      <alignment horizontal="right" vertical="center" wrapText="1"/>
    </xf>
    <xf numFmtId="166" fontId="2" fillId="4" borderId="9" xfId="0" applyNumberFormat="1" applyFont="1" applyFill="1" applyBorder="1" applyAlignment="1">
      <alignment vertical="center" wrapText="1"/>
    </xf>
    <xf numFmtId="166" fontId="2" fillId="4" borderId="17" xfId="0" applyNumberFormat="1" applyFont="1" applyFill="1" applyBorder="1" applyAlignment="1">
      <alignment horizontal="right" vertical="center" wrapText="1"/>
    </xf>
    <xf numFmtId="166" fontId="3" fillId="4" borderId="9" xfId="2" applyNumberFormat="1" applyFont="1" applyFill="1" applyBorder="1" applyAlignment="1">
      <alignment horizontal="right" vertical="center" wrapText="1"/>
    </xf>
    <xf numFmtId="166" fontId="2" fillId="4" borderId="17" xfId="0" applyNumberFormat="1" applyFont="1" applyFill="1" applyBorder="1" applyAlignment="1">
      <alignment horizontal="center" vertical="center" wrapText="1"/>
    </xf>
    <xf numFmtId="166" fontId="3" fillId="0" borderId="8" xfId="0" applyNumberFormat="1" applyFont="1" applyBorder="1" applyAlignment="1">
      <alignment vertical="center" wrapText="1"/>
    </xf>
    <xf numFmtId="166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2" fillId="0" borderId="14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5" xfId="0" applyBorder="1"/>
    <xf numFmtId="0" fontId="2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0" borderId="17" xfId="0" applyFont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3" fillId="0" borderId="13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17" xfId="0" applyBorder="1"/>
    <xf numFmtId="0" fontId="6" fillId="3" borderId="1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14" xfId="0" applyFont="1" applyBorder="1" applyAlignment="1">
      <alignment horizontal="justify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right" wrapText="1"/>
    </xf>
    <xf numFmtId="0" fontId="2" fillId="0" borderId="17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top" wrapText="1"/>
    </xf>
    <xf numFmtId="9" fontId="2" fillId="0" borderId="9" xfId="0" applyNumberFormat="1" applyFont="1" applyBorder="1" applyAlignment="1">
      <alignment horizontal="center" vertical="center" wrapText="1"/>
    </xf>
    <xf numFmtId="165" fontId="3" fillId="3" borderId="17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left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center" wrapText="1"/>
    </xf>
    <xf numFmtId="164" fontId="3" fillId="3" borderId="14" xfId="3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left" vertical="center" wrapText="1"/>
    </xf>
    <xf numFmtId="166" fontId="3" fillId="4" borderId="13" xfId="0" applyNumberFormat="1" applyFont="1" applyFill="1" applyBorder="1" applyAlignment="1">
      <alignment horizontal="center" vertical="center" wrapText="1"/>
    </xf>
    <xf numFmtId="166" fontId="0" fillId="0" borderId="14" xfId="0" applyNumberFormat="1" applyBorder="1"/>
    <xf numFmtId="0" fontId="3" fillId="4" borderId="9" xfId="0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9" fontId="3" fillId="3" borderId="17" xfId="3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164" fontId="3" fillId="3" borderId="17" xfId="3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wrapText="1"/>
    </xf>
    <xf numFmtId="9" fontId="3" fillId="3" borderId="14" xfId="3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wrapText="1"/>
    </xf>
    <xf numFmtId="0" fontId="6" fillId="3" borderId="1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0" fontId="12" fillId="0" borderId="0" xfId="0" applyFont="1"/>
    <xf numFmtId="164" fontId="12" fillId="0" borderId="0" xfId="0" applyNumberFormat="1" applyFont="1"/>
    <xf numFmtId="0" fontId="13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20" xfId="0" applyFont="1" applyBorder="1" applyAlignment="1">
      <alignment horizontal="left" vertical="center"/>
    </xf>
    <xf numFmtId="0" fontId="0" fillId="0" borderId="20" xfId="0" applyBorder="1"/>
    <xf numFmtId="0" fontId="18" fillId="0" borderId="0" xfId="0" applyFont="1" applyAlignment="1">
      <alignment horizontal="left"/>
    </xf>
    <xf numFmtId="165" fontId="14" fillId="0" borderId="0" xfId="0" applyNumberFormat="1" applyFont="1" applyAlignment="1">
      <alignment horizontal="left"/>
    </xf>
    <xf numFmtId="0" fontId="13" fillId="0" borderId="0" xfId="0" applyFon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L85"/>
  <sheetViews>
    <sheetView tabSelected="1" workbookViewId="0">
      <selection activeCell="D19" sqref="D19"/>
    </sheetView>
  </sheetViews>
  <sheetFormatPr baseColWidth="10" defaultColWidth="11.625" defaultRowHeight="11.25"/>
  <cols>
    <col min="1" max="1" width="0.875" style="1" customWidth="1"/>
    <col min="2" max="2" width="9.25" style="1" customWidth="1"/>
    <col min="3" max="3" width="37.375" style="1" customWidth="1"/>
    <col min="4" max="4" width="7.75" style="73" customWidth="1"/>
    <col min="5" max="5" width="9.75" style="1" customWidth="1"/>
    <col min="6" max="6" width="8.875" style="1" customWidth="1"/>
    <col min="7" max="7" width="10.25" style="2" customWidth="1"/>
    <col min="8" max="8" width="9.625" style="3" customWidth="1"/>
    <col min="9" max="9" width="10.75" style="3" customWidth="1"/>
    <col min="10" max="10" width="8" style="2" customWidth="1"/>
    <col min="11" max="11" width="11" style="2" customWidth="1"/>
    <col min="12" max="12" width="12.875" style="73" customWidth="1"/>
    <col min="13" max="13" width="1.25" style="1" customWidth="1"/>
    <col min="14" max="14" width="11.625" style="1" customWidth="1"/>
    <col min="15" max="16384" width="11.625" style="1"/>
  </cols>
  <sheetData>
    <row r="1" spans="2:12" ht="6.6" customHeight="1" thickBot="1"/>
    <row r="2" spans="2:12" ht="7.9" customHeight="1">
      <c r="B2" s="4"/>
      <c r="C2" s="5"/>
      <c r="D2" s="6"/>
      <c r="E2" s="5"/>
      <c r="F2" s="5"/>
      <c r="G2" s="75"/>
      <c r="H2" s="7"/>
      <c r="I2" s="7"/>
      <c r="J2" s="75"/>
      <c r="K2" s="75"/>
      <c r="L2" s="8"/>
    </row>
    <row r="3" spans="2:12" ht="14.45" customHeight="1">
      <c r="B3" s="61"/>
      <c r="C3" s="9"/>
      <c r="D3" s="9"/>
      <c r="E3" s="9"/>
      <c r="F3" s="9"/>
      <c r="G3" s="9"/>
      <c r="H3" s="9"/>
      <c r="I3" s="161" t="s">
        <v>0</v>
      </c>
      <c r="J3" s="114"/>
      <c r="K3" s="143" t="s">
        <v>1</v>
      </c>
      <c r="L3" s="115"/>
    </row>
    <row r="4" spans="2:12" ht="18.600000000000001" customHeight="1">
      <c r="B4" s="10"/>
      <c r="D4" s="1"/>
      <c r="I4" s="163" t="s">
        <v>2</v>
      </c>
      <c r="J4" s="114"/>
      <c r="K4" s="166" t="s">
        <v>3</v>
      </c>
      <c r="L4" s="115"/>
    </row>
    <row r="5" spans="2:12" ht="8.4499999999999993" customHeight="1">
      <c r="B5" s="10"/>
      <c r="D5" s="1"/>
      <c r="I5" s="11"/>
      <c r="J5" s="11"/>
      <c r="K5" s="12"/>
      <c r="L5" s="13"/>
    </row>
    <row r="6" spans="2:12" ht="41.45" customHeight="1">
      <c r="B6" s="142" t="s">
        <v>4</v>
      </c>
      <c r="C6" s="131"/>
      <c r="D6" s="132"/>
      <c r="E6" s="131"/>
      <c r="F6" s="131"/>
      <c r="G6" s="114"/>
      <c r="H6" s="133"/>
      <c r="I6" s="133"/>
      <c r="J6" s="114"/>
      <c r="K6" s="114"/>
      <c r="L6" s="115"/>
    </row>
    <row r="7" spans="2:12" ht="16.899999999999999" customHeight="1">
      <c r="B7" s="142" t="s">
        <v>5</v>
      </c>
      <c r="C7" s="131"/>
      <c r="D7" s="132"/>
      <c r="E7" s="131"/>
      <c r="F7" s="131"/>
      <c r="G7" s="114"/>
      <c r="H7" s="133"/>
      <c r="I7" s="133"/>
      <c r="J7" s="114"/>
      <c r="K7" s="114"/>
      <c r="L7" s="115"/>
    </row>
    <row r="8" spans="2:12" ht="7.9" customHeight="1" thickBot="1">
      <c r="B8" s="10"/>
      <c r="D8" s="1"/>
      <c r="J8" s="12"/>
      <c r="K8" s="12"/>
      <c r="L8" s="13"/>
    </row>
    <row r="9" spans="2:12" ht="18.600000000000001" customHeight="1" thickBot="1">
      <c r="B9" s="117" t="s">
        <v>6</v>
      </c>
      <c r="C9" s="112"/>
      <c r="D9" s="110" t="s">
        <v>7</v>
      </c>
      <c r="E9" s="111"/>
      <c r="F9" s="111"/>
      <c r="G9" s="112"/>
      <c r="H9" s="155" t="s">
        <v>8</v>
      </c>
      <c r="I9" s="111"/>
      <c r="J9" s="112"/>
      <c r="K9" s="147" t="s">
        <v>9</v>
      </c>
      <c r="L9" s="112"/>
    </row>
    <row r="10" spans="2:12" ht="18.600000000000001" customHeight="1" thickBot="1">
      <c r="B10" s="117" t="s">
        <v>10</v>
      </c>
      <c r="C10" s="112"/>
      <c r="D10" s="110" t="s">
        <v>11</v>
      </c>
      <c r="E10" s="111"/>
      <c r="F10" s="111"/>
      <c r="G10" s="111"/>
      <c r="H10" s="111"/>
      <c r="I10" s="111"/>
      <c r="J10" s="111"/>
      <c r="K10" s="111"/>
      <c r="L10" s="112"/>
    </row>
    <row r="11" spans="2:12" ht="29.25" customHeight="1" thickBot="1">
      <c r="B11" s="117" t="s">
        <v>12</v>
      </c>
      <c r="C11" s="112"/>
      <c r="D11" s="116" t="s">
        <v>13</v>
      </c>
      <c r="E11" s="111"/>
      <c r="F11" s="111"/>
      <c r="G11" s="111"/>
      <c r="H11" s="111"/>
      <c r="I11" s="111"/>
      <c r="J11" s="111"/>
      <c r="K11" s="111"/>
      <c r="L11" s="112"/>
    </row>
    <row r="12" spans="2:12" ht="7.9" customHeight="1" thickBot="1">
      <c r="B12" s="14"/>
      <c r="C12" s="70"/>
      <c r="D12" s="15"/>
      <c r="E12" s="15"/>
      <c r="F12" s="15"/>
      <c r="G12" s="15"/>
      <c r="H12" s="15"/>
      <c r="I12" s="15"/>
      <c r="J12" s="15"/>
      <c r="K12" s="15"/>
      <c r="L12" s="16"/>
    </row>
    <row r="13" spans="2:12" ht="45.6" customHeight="1">
      <c r="B13" s="124" t="s">
        <v>14</v>
      </c>
      <c r="C13" s="125"/>
      <c r="D13" s="125"/>
      <c r="E13" s="125"/>
      <c r="F13" s="125"/>
      <c r="G13" s="125"/>
      <c r="H13" s="125"/>
      <c r="I13" s="125"/>
      <c r="J13" s="125"/>
      <c r="K13" s="125"/>
      <c r="L13" s="126"/>
    </row>
    <row r="14" spans="2:12" ht="7.9" customHeight="1" thickBot="1">
      <c r="B14" s="61"/>
      <c r="C14" s="9"/>
      <c r="D14" s="17"/>
      <c r="E14" s="17"/>
      <c r="F14" s="17"/>
      <c r="G14" s="17"/>
      <c r="H14" s="17"/>
      <c r="I14" s="17"/>
      <c r="J14" s="17"/>
      <c r="K14" s="17"/>
      <c r="L14" s="18"/>
    </row>
    <row r="15" spans="2:12" ht="24.6" customHeight="1" thickBot="1">
      <c r="B15" s="19" t="s">
        <v>15</v>
      </c>
      <c r="C15" s="117" t="s">
        <v>16</v>
      </c>
      <c r="D15" s="111"/>
      <c r="E15" s="111"/>
      <c r="F15" s="112"/>
      <c r="G15" s="110" t="s">
        <v>17</v>
      </c>
      <c r="H15" s="111"/>
      <c r="I15" s="112"/>
      <c r="J15" s="110" t="s">
        <v>18</v>
      </c>
      <c r="K15" s="111"/>
      <c r="L15" s="112"/>
    </row>
    <row r="16" spans="2:12" ht="12" customHeight="1" thickBot="1">
      <c r="B16" s="19">
        <v>1</v>
      </c>
      <c r="C16" s="116" t="s">
        <v>19</v>
      </c>
      <c r="D16" s="111"/>
      <c r="E16" s="111"/>
      <c r="F16" s="112"/>
      <c r="G16" s="110" t="s">
        <v>20</v>
      </c>
      <c r="H16" s="111"/>
      <c r="I16" s="112"/>
      <c r="J16" s="110" t="s">
        <v>21</v>
      </c>
      <c r="K16" s="111"/>
      <c r="L16" s="112"/>
    </row>
    <row r="17" spans="2:12" ht="12" customHeight="1" thickBot="1">
      <c r="B17" s="19">
        <v>2</v>
      </c>
      <c r="C17" s="116" t="s">
        <v>22</v>
      </c>
      <c r="D17" s="111"/>
      <c r="E17" s="111"/>
      <c r="F17" s="112"/>
      <c r="G17" s="110" t="s">
        <v>23</v>
      </c>
      <c r="H17" s="111"/>
      <c r="I17" s="112"/>
      <c r="J17" s="110" t="s">
        <v>21</v>
      </c>
      <c r="K17" s="111"/>
      <c r="L17" s="112"/>
    </row>
    <row r="18" spans="2:12" ht="12" customHeight="1" thickBot="1">
      <c r="B18" s="19">
        <v>3</v>
      </c>
      <c r="C18" s="116"/>
      <c r="D18" s="111"/>
      <c r="E18" s="111"/>
      <c r="F18" s="112"/>
      <c r="G18" s="110"/>
      <c r="H18" s="111"/>
      <c r="I18" s="112"/>
      <c r="J18" s="110"/>
      <c r="K18" s="111"/>
      <c r="L18" s="112"/>
    </row>
    <row r="19" spans="2:12" ht="7.9" customHeight="1">
      <c r="B19" s="57"/>
      <c r="C19" s="58"/>
      <c r="D19" s="58"/>
      <c r="E19" s="58"/>
      <c r="F19" s="58"/>
      <c r="G19" s="20"/>
      <c r="H19" s="20"/>
      <c r="I19" s="20"/>
      <c r="J19" s="20"/>
      <c r="K19" s="20"/>
      <c r="L19" s="21"/>
    </row>
    <row r="20" spans="2:12" ht="27.6" customHeight="1">
      <c r="B20" s="142" t="s">
        <v>24</v>
      </c>
      <c r="C20" s="131"/>
      <c r="D20" s="132"/>
      <c r="E20" s="131"/>
      <c r="F20" s="131"/>
      <c r="G20" s="114"/>
      <c r="H20" s="133"/>
      <c r="I20" s="133"/>
      <c r="J20" s="114"/>
      <c r="K20" s="114"/>
      <c r="L20" s="115"/>
    </row>
    <row r="21" spans="2:12" ht="28.15" customHeight="1" thickBot="1">
      <c r="B21" s="118" t="s">
        <v>25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20"/>
    </row>
    <row r="22" spans="2:12" ht="9.6" customHeight="1" thickBot="1"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2:12" ht="24.6" customHeight="1" thickBot="1">
      <c r="B23" s="19" t="s">
        <v>15</v>
      </c>
      <c r="C23" s="117" t="s">
        <v>16</v>
      </c>
      <c r="D23" s="111"/>
      <c r="E23" s="111"/>
      <c r="F23" s="112"/>
      <c r="G23" s="110" t="s">
        <v>17</v>
      </c>
      <c r="H23" s="111"/>
      <c r="I23" s="112"/>
      <c r="J23" s="110" t="s">
        <v>26</v>
      </c>
      <c r="K23" s="111"/>
      <c r="L23" s="112"/>
    </row>
    <row r="24" spans="2:12" ht="10.9" customHeight="1" thickBot="1">
      <c r="B24" s="19">
        <v>1</v>
      </c>
      <c r="C24" s="116" t="s">
        <v>19</v>
      </c>
      <c r="D24" s="111"/>
      <c r="E24" s="111"/>
      <c r="F24" s="112"/>
      <c r="G24" s="110" t="s">
        <v>20</v>
      </c>
      <c r="H24" s="111"/>
      <c r="I24" s="112"/>
      <c r="J24" s="110" t="s">
        <v>21</v>
      </c>
      <c r="K24" s="111"/>
      <c r="L24" s="112"/>
    </row>
    <row r="25" spans="2:12" ht="12" customHeight="1" thickBot="1">
      <c r="B25" s="19">
        <v>2</v>
      </c>
      <c r="C25" s="116" t="s">
        <v>22</v>
      </c>
      <c r="D25" s="111"/>
      <c r="E25" s="111"/>
      <c r="F25" s="112"/>
      <c r="G25" s="110" t="s">
        <v>23</v>
      </c>
      <c r="H25" s="111"/>
      <c r="I25" s="112"/>
      <c r="J25" s="110" t="s">
        <v>21</v>
      </c>
      <c r="K25" s="111"/>
      <c r="L25" s="112"/>
    </row>
    <row r="26" spans="2:12" ht="10.9" customHeight="1" thickBot="1">
      <c r="B26" s="19">
        <v>3</v>
      </c>
      <c r="C26" s="116"/>
      <c r="D26" s="111"/>
      <c r="E26" s="111"/>
      <c r="F26" s="112"/>
      <c r="G26" s="110"/>
      <c r="H26" s="111"/>
      <c r="I26" s="112"/>
      <c r="J26" s="110"/>
      <c r="K26" s="111"/>
      <c r="L26" s="112"/>
    </row>
    <row r="27" spans="2:12" ht="9.6" customHeight="1" thickBot="1"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2:12" ht="33.6" customHeight="1" thickBot="1">
      <c r="B28" s="149" t="s">
        <v>27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2"/>
    </row>
    <row r="29" spans="2:12" ht="24.6" customHeight="1" thickBot="1">
      <c r="B29" s="19" t="s">
        <v>15</v>
      </c>
      <c r="C29" s="117" t="s">
        <v>16</v>
      </c>
      <c r="D29" s="111"/>
      <c r="E29" s="111"/>
      <c r="F29" s="112"/>
      <c r="G29" s="110" t="s">
        <v>17</v>
      </c>
      <c r="H29" s="111"/>
      <c r="I29" s="112"/>
      <c r="J29" s="110" t="s">
        <v>26</v>
      </c>
      <c r="K29" s="111"/>
      <c r="L29" s="112"/>
    </row>
    <row r="30" spans="2:12" ht="10.9" customHeight="1" thickBot="1">
      <c r="B30" s="19">
        <v>1</v>
      </c>
      <c r="C30" s="116" t="s">
        <v>19</v>
      </c>
      <c r="D30" s="111"/>
      <c r="E30" s="111"/>
      <c r="F30" s="112"/>
      <c r="G30" s="110" t="s">
        <v>20</v>
      </c>
      <c r="H30" s="111"/>
      <c r="I30" s="112"/>
      <c r="J30" s="110" t="s">
        <v>21</v>
      </c>
      <c r="K30" s="111"/>
      <c r="L30" s="112"/>
    </row>
    <row r="31" spans="2:12" ht="12" customHeight="1" thickBot="1">
      <c r="B31" s="19">
        <v>2</v>
      </c>
      <c r="C31" s="116" t="s">
        <v>22</v>
      </c>
      <c r="D31" s="111"/>
      <c r="E31" s="111"/>
      <c r="F31" s="112"/>
      <c r="G31" s="110" t="s">
        <v>23</v>
      </c>
      <c r="H31" s="111"/>
      <c r="I31" s="112"/>
      <c r="J31" s="110" t="s">
        <v>28</v>
      </c>
      <c r="K31" s="111"/>
      <c r="L31" s="112"/>
    </row>
    <row r="32" spans="2:12" ht="10.9" customHeight="1" thickBot="1">
      <c r="B32" s="19">
        <v>3</v>
      </c>
      <c r="C32" s="116"/>
      <c r="D32" s="111"/>
      <c r="E32" s="111"/>
      <c r="F32" s="112"/>
      <c r="G32" s="110"/>
      <c r="H32" s="111"/>
      <c r="I32" s="112"/>
      <c r="J32" s="110"/>
      <c r="K32" s="111"/>
      <c r="L32" s="112"/>
    </row>
    <row r="33" spans="2:12" ht="16.899999999999999" customHeight="1" thickBot="1"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2:12" ht="41.45" customHeight="1" thickBot="1">
      <c r="B34" s="149" t="s">
        <v>29</v>
      </c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2:12" ht="24.6" customHeight="1" thickBot="1">
      <c r="B35" s="19" t="s">
        <v>15</v>
      </c>
      <c r="C35" s="117" t="s">
        <v>16</v>
      </c>
      <c r="D35" s="111"/>
      <c r="E35" s="111"/>
      <c r="F35" s="112"/>
      <c r="G35" s="110" t="s">
        <v>17</v>
      </c>
      <c r="H35" s="111"/>
      <c r="I35" s="112"/>
      <c r="J35" s="110" t="s">
        <v>26</v>
      </c>
      <c r="K35" s="111"/>
      <c r="L35" s="112"/>
    </row>
    <row r="36" spans="2:12" ht="10.9" customHeight="1" thickBot="1">
      <c r="B36" s="19">
        <v>1</v>
      </c>
      <c r="C36" s="116" t="s">
        <v>19</v>
      </c>
      <c r="D36" s="111"/>
      <c r="E36" s="111"/>
      <c r="F36" s="112"/>
      <c r="G36" s="110" t="s">
        <v>20</v>
      </c>
      <c r="H36" s="111"/>
      <c r="I36" s="112"/>
      <c r="J36" s="110" t="s">
        <v>28</v>
      </c>
      <c r="K36" s="111"/>
      <c r="L36" s="112"/>
    </row>
    <row r="37" spans="2:12" ht="12" customHeight="1" thickBot="1">
      <c r="B37" s="19">
        <v>2</v>
      </c>
      <c r="C37" s="116" t="s">
        <v>22</v>
      </c>
      <c r="D37" s="111"/>
      <c r="E37" s="111"/>
      <c r="F37" s="112"/>
      <c r="G37" s="110" t="s">
        <v>23</v>
      </c>
      <c r="H37" s="111"/>
      <c r="I37" s="112"/>
      <c r="J37" s="110" t="s">
        <v>21</v>
      </c>
      <c r="K37" s="111"/>
      <c r="L37" s="112"/>
    </row>
    <row r="38" spans="2:12" ht="10.9" customHeight="1" thickBot="1">
      <c r="B38" s="19">
        <v>3</v>
      </c>
      <c r="C38" s="116"/>
      <c r="D38" s="111"/>
      <c r="E38" s="111"/>
      <c r="F38" s="112"/>
      <c r="G38" s="110"/>
      <c r="H38" s="111"/>
      <c r="I38" s="112"/>
      <c r="J38" s="110"/>
      <c r="K38" s="111"/>
      <c r="L38" s="112"/>
    </row>
    <row r="39" spans="2:12" ht="21" customHeight="1" thickBot="1"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2:12" ht="36.6" customHeight="1" thickBot="1">
      <c r="B40" s="116" t="s">
        <v>30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2"/>
    </row>
    <row r="41" spans="2:12" ht="9" customHeight="1" thickBot="1"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7"/>
    </row>
    <row r="42" spans="2:12" ht="14.25">
      <c r="B42" s="121"/>
      <c r="C42" s="115"/>
      <c r="D42" s="165" t="s">
        <v>31</v>
      </c>
      <c r="E42" s="126"/>
      <c r="F42" s="139" t="s">
        <v>32</v>
      </c>
      <c r="G42" s="126"/>
      <c r="H42" s="153" t="s">
        <v>33</v>
      </c>
      <c r="I42" s="126"/>
      <c r="J42" s="154" t="s">
        <v>34</v>
      </c>
      <c r="K42" s="126"/>
      <c r="L42" s="28"/>
    </row>
    <row r="43" spans="2:12" ht="37.9" customHeight="1">
      <c r="B43" s="122"/>
      <c r="C43" s="115"/>
      <c r="D43" s="138"/>
      <c r="E43" s="115"/>
      <c r="F43" s="128" t="str">
        <f>C24</f>
        <v>Gabriel Lopez Crisostomo</v>
      </c>
      <c r="G43" s="115"/>
      <c r="H43" s="146" t="str">
        <f>C25</f>
        <v>Santiago Lopez Cruz</v>
      </c>
      <c r="I43" s="115"/>
      <c r="J43" s="164"/>
      <c r="K43" s="115"/>
      <c r="L43" s="29"/>
    </row>
    <row r="44" spans="2:12" ht="12" customHeight="1" thickBot="1">
      <c r="B44" s="123"/>
      <c r="C44" s="120"/>
      <c r="D44" s="123"/>
      <c r="E44" s="120"/>
      <c r="F44" s="167" t="s">
        <v>35</v>
      </c>
      <c r="G44" s="120"/>
      <c r="H44" s="159" t="s">
        <v>36</v>
      </c>
      <c r="I44" s="120"/>
      <c r="J44" s="157"/>
      <c r="K44" s="120"/>
      <c r="L44" s="29"/>
    </row>
    <row r="45" spans="2:12" ht="38.25" customHeight="1" thickBot="1">
      <c r="B45" s="30" t="s">
        <v>15</v>
      </c>
      <c r="C45" s="30" t="s">
        <v>37</v>
      </c>
      <c r="D45" s="30" t="s">
        <v>38</v>
      </c>
      <c r="E45" s="30" t="s">
        <v>39</v>
      </c>
      <c r="F45" s="30" t="s">
        <v>40</v>
      </c>
      <c r="G45" s="30" t="s">
        <v>41</v>
      </c>
      <c r="H45" s="31" t="s">
        <v>40</v>
      </c>
      <c r="I45" s="31" t="s">
        <v>41</v>
      </c>
      <c r="J45" s="30" t="s">
        <v>40</v>
      </c>
      <c r="K45" s="30" t="s">
        <v>41</v>
      </c>
      <c r="L45" s="30" t="s">
        <v>42</v>
      </c>
    </row>
    <row r="46" spans="2:12" ht="21.75" customHeight="1" thickBot="1">
      <c r="B46" s="32">
        <v>1</v>
      </c>
      <c r="C46" s="33" t="s">
        <v>43</v>
      </c>
      <c r="D46" s="34" t="s">
        <v>44</v>
      </c>
      <c r="E46" s="34">
        <v>1</v>
      </c>
      <c r="F46" s="101">
        <v>200</v>
      </c>
      <c r="G46" s="102">
        <v>200</v>
      </c>
      <c r="H46" s="101">
        <v>219</v>
      </c>
      <c r="I46" s="102">
        <v>219</v>
      </c>
      <c r="J46" s="101"/>
      <c r="K46" s="103"/>
      <c r="L46" s="104">
        <v>209.5</v>
      </c>
    </row>
    <row r="47" spans="2:12" ht="24" customHeight="1" thickBot="1">
      <c r="B47" s="39">
        <v>2</v>
      </c>
      <c r="C47" s="33" t="s">
        <v>45</v>
      </c>
      <c r="D47" s="34" t="s">
        <v>44</v>
      </c>
      <c r="E47" s="34">
        <v>1</v>
      </c>
      <c r="F47" s="101">
        <v>200</v>
      </c>
      <c r="G47" s="102">
        <v>200</v>
      </c>
      <c r="H47" s="101">
        <v>122</v>
      </c>
      <c r="I47" s="102">
        <v>122</v>
      </c>
      <c r="J47" s="101"/>
      <c r="K47" s="103"/>
      <c r="L47" s="104">
        <v>161</v>
      </c>
    </row>
    <row r="48" spans="2:12" ht="24" customHeight="1" thickBot="1">
      <c r="B48" s="32">
        <v>3</v>
      </c>
      <c r="C48" s="33" t="s">
        <v>46</v>
      </c>
      <c r="D48" s="34" t="s">
        <v>44</v>
      </c>
      <c r="E48" s="34">
        <v>1</v>
      </c>
      <c r="F48" s="101">
        <v>178</v>
      </c>
      <c r="G48" s="102">
        <v>178</v>
      </c>
      <c r="H48" s="101">
        <v>342</v>
      </c>
      <c r="I48" s="102">
        <v>342</v>
      </c>
      <c r="J48" s="101"/>
      <c r="K48" s="103"/>
      <c r="L48" s="104">
        <v>260</v>
      </c>
    </row>
    <row r="49" spans="2:12" ht="24" customHeight="1" thickBot="1">
      <c r="B49" s="39">
        <v>4</v>
      </c>
      <c r="C49" s="33" t="s">
        <v>47</v>
      </c>
      <c r="D49" s="34" t="s">
        <v>44</v>
      </c>
      <c r="E49" s="34">
        <v>1</v>
      </c>
      <c r="F49" s="35">
        <v>1000</v>
      </c>
      <c r="G49" s="36">
        <f>F49*E49</f>
        <v>1000</v>
      </c>
      <c r="H49" s="35">
        <v>1800</v>
      </c>
      <c r="I49" s="36">
        <f>H49*E49</f>
        <v>1800</v>
      </c>
      <c r="J49" s="35"/>
      <c r="K49" s="37"/>
      <c r="L49" s="38">
        <f>(F49+H49+J49)/2</f>
        <v>1400</v>
      </c>
    </row>
    <row r="50" spans="2:12" ht="12" customHeight="1" thickBot="1">
      <c r="B50" s="152"/>
      <c r="C50" s="125"/>
      <c r="D50" s="126"/>
      <c r="E50" s="40"/>
      <c r="F50" s="41" t="s">
        <v>48</v>
      </c>
      <c r="G50" s="102">
        <v>578</v>
      </c>
      <c r="H50" s="42" t="s">
        <v>48</v>
      </c>
      <c r="I50" s="102">
        <v>683</v>
      </c>
      <c r="J50" s="41" t="s">
        <v>48</v>
      </c>
      <c r="K50" s="102"/>
      <c r="L50" s="150">
        <f>(G50+I50)/2</f>
        <v>630.5</v>
      </c>
    </row>
    <row r="51" spans="2:12" ht="15" customHeight="1" thickBot="1">
      <c r="B51" s="122"/>
      <c r="C51" s="131"/>
      <c r="D51" s="115"/>
      <c r="E51" s="43"/>
      <c r="F51" s="44" t="s">
        <v>49</v>
      </c>
      <c r="G51" s="105">
        <v>92.48</v>
      </c>
      <c r="H51" s="45"/>
      <c r="I51" s="105">
        <v>109.28</v>
      </c>
      <c r="J51" s="44"/>
      <c r="K51" s="105"/>
      <c r="L51" s="151"/>
    </row>
    <row r="52" spans="2:12" ht="15" customHeight="1" thickBot="1">
      <c r="B52" s="123"/>
      <c r="C52" s="119"/>
      <c r="D52" s="120"/>
      <c r="E52" s="46"/>
      <c r="F52" s="47" t="s">
        <v>50</v>
      </c>
      <c r="G52" s="106">
        <v>670.48</v>
      </c>
      <c r="H52" s="48" t="s">
        <v>50</v>
      </c>
      <c r="I52" s="106">
        <v>792.28</v>
      </c>
      <c r="J52" s="47" t="s">
        <v>50</v>
      </c>
      <c r="K52" s="106"/>
      <c r="L52" s="107">
        <v>731.38</v>
      </c>
    </row>
    <row r="53" spans="2:12" ht="6" customHeight="1" thickBot="1">
      <c r="B53" s="49"/>
      <c r="C53" s="50"/>
      <c r="D53" s="50"/>
      <c r="E53" s="51"/>
      <c r="F53" s="52"/>
      <c r="G53" s="53"/>
      <c r="H53" s="54"/>
      <c r="I53" s="53"/>
      <c r="J53" s="54"/>
      <c r="K53" s="55"/>
      <c r="L53" s="56"/>
    </row>
    <row r="54" spans="2:12" ht="15" customHeight="1" thickBot="1">
      <c r="B54" s="117" t="s">
        <v>15</v>
      </c>
      <c r="C54" s="117" t="s">
        <v>51</v>
      </c>
      <c r="D54" s="125"/>
      <c r="E54" s="125"/>
      <c r="F54" s="126"/>
      <c r="G54" s="160" t="s">
        <v>52</v>
      </c>
      <c r="H54" s="111"/>
      <c r="I54" s="111"/>
      <c r="J54" s="111"/>
      <c r="K54" s="111"/>
      <c r="L54" s="112"/>
    </row>
    <row r="55" spans="2:12" ht="32.450000000000003" customHeight="1" thickBot="1">
      <c r="B55" s="127"/>
      <c r="C55" s="123"/>
      <c r="D55" s="119"/>
      <c r="E55" s="119"/>
      <c r="F55" s="120"/>
      <c r="G55" s="117" t="str">
        <f>F43</f>
        <v>Gabriel Lopez Crisostomo</v>
      </c>
      <c r="H55" s="112"/>
      <c r="I55" s="155" t="str">
        <f>H43</f>
        <v>Santiago Lopez Cruz</v>
      </c>
      <c r="J55" s="112"/>
      <c r="K55" s="137">
        <f>J43</f>
        <v>0</v>
      </c>
      <c r="L55" s="112"/>
    </row>
    <row r="56" spans="2:12" ht="50.45" customHeight="1" thickBot="1">
      <c r="B56" s="19" t="s">
        <v>53</v>
      </c>
      <c r="C56" s="129" t="s">
        <v>54</v>
      </c>
      <c r="D56" s="111"/>
      <c r="E56" s="111"/>
      <c r="F56" s="112"/>
      <c r="G56" s="110" t="str">
        <f>J36</f>
        <v>NO</v>
      </c>
      <c r="H56" s="112"/>
      <c r="I56" s="110" t="str">
        <f>J37</f>
        <v>SI</v>
      </c>
      <c r="J56" s="112"/>
      <c r="K56" s="110">
        <f>J38</f>
        <v>0</v>
      </c>
      <c r="L56" s="112"/>
    </row>
    <row r="57" spans="2:12" ht="32.450000000000003" customHeight="1" thickBot="1">
      <c r="B57" s="19" t="s">
        <v>55</v>
      </c>
      <c r="C57" s="129" t="s">
        <v>56</v>
      </c>
      <c r="D57" s="111"/>
      <c r="E57" s="111"/>
      <c r="F57" s="112"/>
      <c r="G57" s="110" t="s">
        <v>57</v>
      </c>
      <c r="H57" s="112"/>
      <c r="I57" s="110" t="str">
        <f>I56</f>
        <v>SI</v>
      </c>
      <c r="J57" s="112"/>
      <c r="K57" s="110">
        <f>K56</f>
        <v>0</v>
      </c>
      <c r="L57" s="112"/>
    </row>
    <row r="58" spans="2:12" ht="45" customHeight="1" thickBot="1">
      <c r="B58" s="19" t="s">
        <v>58</v>
      </c>
      <c r="C58" s="129" t="s">
        <v>59</v>
      </c>
      <c r="D58" s="111"/>
      <c r="E58" s="111"/>
      <c r="F58" s="112"/>
      <c r="G58" s="110" t="str">
        <f>G57</f>
        <v>No</v>
      </c>
      <c r="H58" s="112"/>
      <c r="I58" s="110" t="str">
        <f>I57</f>
        <v>SI</v>
      </c>
      <c r="J58" s="112"/>
      <c r="K58" s="110">
        <f>K57</f>
        <v>0</v>
      </c>
      <c r="L58" s="112"/>
    </row>
    <row r="59" spans="2:12" ht="112.5" customHeight="1" thickBot="1">
      <c r="B59" s="158" t="s">
        <v>60</v>
      </c>
      <c r="C59" s="111"/>
      <c r="D59" s="111"/>
      <c r="E59" s="111"/>
      <c r="F59" s="111"/>
      <c r="G59" s="111"/>
      <c r="H59" s="111"/>
      <c r="I59" s="111"/>
      <c r="J59" s="111"/>
      <c r="K59" s="111"/>
      <c r="L59" s="112"/>
    </row>
    <row r="60" spans="2:12" ht="9.6" customHeight="1" thickBot="1">
      <c r="B60" s="59"/>
      <c r="C60" s="75"/>
      <c r="D60" s="75"/>
      <c r="E60" s="75"/>
      <c r="F60" s="75"/>
      <c r="G60" s="75"/>
      <c r="H60" s="75"/>
      <c r="I60" s="75"/>
      <c r="J60" s="75"/>
      <c r="K60" s="75"/>
      <c r="L60" s="60"/>
    </row>
    <row r="61" spans="2:12" ht="16.149999999999999" customHeight="1" thickBot="1">
      <c r="B61" s="145" t="s">
        <v>61</v>
      </c>
      <c r="C61" s="111"/>
      <c r="D61" s="111"/>
      <c r="E61" s="111"/>
      <c r="F61" s="111"/>
      <c r="G61" s="111"/>
      <c r="H61" s="108">
        <f>G52</f>
        <v>670.48</v>
      </c>
      <c r="I61" s="140" t="s">
        <v>62</v>
      </c>
      <c r="J61" s="111"/>
      <c r="K61" s="111"/>
      <c r="L61" s="112"/>
    </row>
    <row r="62" spans="2:12" ht="12.6" customHeight="1">
      <c r="B62" s="62"/>
      <c r="C62" s="63"/>
      <c r="D62" s="63"/>
      <c r="E62" s="63"/>
      <c r="F62" s="63"/>
      <c r="G62" s="63"/>
      <c r="H62" s="63"/>
      <c r="I62" s="63"/>
      <c r="J62" s="63"/>
      <c r="K62" s="63"/>
      <c r="L62" s="64"/>
    </row>
    <row r="63" spans="2:12" ht="25.9" customHeight="1">
      <c r="B63" s="135" t="s">
        <v>63</v>
      </c>
      <c r="C63" s="131"/>
      <c r="D63" s="132"/>
      <c r="E63" s="131"/>
      <c r="F63" s="131"/>
      <c r="G63" s="114"/>
      <c r="H63" s="133"/>
      <c r="I63" s="133"/>
      <c r="J63" s="114"/>
      <c r="K63" s="114"/>
      <c r="L63" s="115"/>
    </row>
    <row r="64" spans="2:12" ht="20.45" customHeight="1">
      <c r="B64" s="130" t="s">
        <v>64</v>
      </c>
      <c r="C64" s="131"/>
      <c r="D64" s="132"/>
      <c r="E64" s="131"/>
      <c r="F64" s="131"/>
      <c r="G64" s="114"/>
      <c r="H64" s="133"/>
      <c r="I64" s="133"/>
      <c r="J64" s="114"/>
      <c r="K64" s="114"/>
      <c r="L64" s="115"/>
    </row>
    <row r="65" spans="2:12" ht="7.9" customHeight="1" thickBot="1"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64"/>
    </row>
    <row r="66" spans="2:12" ht="19.899999999999999" customHeight="1" thickBot="1">
      <c r="B66" s="65" t="s">
        <v>65</v>
      </c>
      <c r="C66" s="162" t="s">
        <v>19</v>
      </c>
      <c r="D66" s="111"/>
      <c r="E66" s="112"/>
      <c r="F66" s="65" t="s">
        <v>66</v>
      </c>
      <c r="G66" s="76" t="s">
        <v>67</v>
      </c>
      <c r="H66" s="65" t="s">
        <v>68</v>
      </c>
      <c r="I66" s="110" t="s">
        <v>69</v>
      </c>
      <c r="J66" s="111"/>
      <c r="K66" s="111"/>
      <c r="L66" s="112"/>
    </row>
    <row r="67" spans="2:12" ht="6.6" customHeight="1">
      <c r="B67" s="66"/>
      <c r="C67" s="67"/>
      <c r="D67" s="67"/>
      <c r="E67" s="67"/>
      <c r="F67" s="63"/>
      <c r="G67" s="63"/>
      <c r="H67" s="63"/>
      <c r="I67" s="67"/>
      <c r="J67" s="67"/>
      <c r="K67" s="67"/>
      <c r="L67" s="68"/>
    </row>
    <row r="68" spans="2:12" ht="30" customHeight="1" thickBot="1">
      <c r="B68" s="130" t="s">
        <v>70</v>
      </c>
      <c r="C68" s="131"/>
      <c r="D68" s="132"/>
      <c r="E68" s="131"/>
      <c r="F68" s="131"/>
      <c r="G68" s="114"/>
      <c r="H68" s="133"/>
      <c r="I68" s="133"/>
      <c r="J68" s="114"/>
      <c r="K68" s="114"/>
      <c r="L68" s="115"/>
    </row>
    <row r="69" spans="2:12" s="73" customFormat="1" ht="14.45" customHeight="1" thickBot="1">
      <c r="B69" s="141" t="s">
        <v>71</v>
      </c>
      <c r="C69" s="111"/>
      <c r="D69" s="112"/>
      <c r="E69" s="109">
        <f>H61</f>
        <v>670.48</v>
      </c>
      <c r="F69" s="110" t="str">
        <f>I61</f>
        <v>SEISCIENTOS SETENTA PESOS 48/100 M.N.</v>
      </c>
      <c r="G69" s="111"/>
      <c r="H69" s="111"/>
      <c r="I69" s="111"/>
      <c r="J69" s="111"/>
      <c r="K69" s="111"/>
      <c r="L69" s="112"/>
    </row>
    <row r="70" spans="2:12" ht="7.9" customHeight="1" thickBot="1">
      <c r="B70" s="66"/>
      <c r="C70" s="67"/>
      <c r="D70" s="67"/>
      <c r="E70" s="67"/>
      <c r="F70" s="63"/>
      <c r="G70" s="63"/>
      <c r="H70" s="63"/>
      <c r="I70" s="67"/>
      <c r="J70" s="67"/>
      <c r="K70" s="67"/>
      <c r="L70" s="68"/>
    </row>
    <row r="71" spans="2:12" ht="42.75" customHeight="1">
      <c r="B71" s="148" t="s">
        <v>72</v>
      </c>
      <c r="C71" s="125"/>
      <c r="D71" s="125"/>
      <c r="E71" s="125"/>
      <c r="F71" s="125"/>
      <c r="G71" s="125"/>
      <c r="H71" s="125"/>
      <c r="I71" s="125"/>
      <c r="J71" s="125"/>
      <c r="K71" s="125"/>
      <c r="L71" s="126"/>
    </row>
    <row r="72" spans="2:12" ht="12.6" customHeight="1" thickBot="1">
      <c r="B72" s="144" t="s">
        <v>73</v>
      </c>
      <c r="C72" s="119"/>
      <c r="D72" s="119"/>
      <c r="E72" s="119"/>
      <c r="F72" s="119"/>
      <c r="G72" s="119"/>
      <c r="H72" s="119"/>
      <c r="I72" s="119"/>
      <c r="J72" s="119"/>
      <c r="K72" s="119"/>
      <c r="L72" s="120"/>
    </row>
    <row r="73" spans="2:12" ht="7.9" customHeight="1" thickBot="1"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64"/>
    </row>
    <row r="74" spans="2:12" ht="34.15" customHeight="1" thickBot="1">
      <c r="B74" s="148" t="s">
        <v>74</v>
      </c>
      <c r="C74" s="125"/>
      <c r="D74" s="125"/>
      <c r="E74" s="125"/>
      <c r="F74" s="125"/>
      <c r="G74" s="125"/>
      <c r="H74" s="125"/>
      <c r="I74" s="125"/>
      <c r="J74" s="125"/>
      <c r="K74" s="125"/>
      <c r="L74" s="126"/>
    </row>
    <row r="75" spans="2:12" ht="33" customHeight="1" thickBot="1">
      <c r="B75" s="65" t="s">
        <v>65</v>
      </c>
      <c r="C75" s="110" t="str">
        <f>C66</f>
        <v>Gabriel Lopez Crisostomo</v>
      </c>
      <c r="D75" s="111"/>
      <c r="E75" s="112"/>
      <c r="F75" s="65" t="s">
        <v>66</v>
      </c>
      <c r="G75" s="69" t="str">
        <f>G66</f>
        <v>HGF29JL0993</v>
      </c>
      <c r="H75" s="65" t="s">
        <v>68</v>
      </c>
      <c r="I75" s="110" t="str">
        <f>I66</f>
        <v>LA ARRINCONADA</v>
      </c>
      <c r="J75" s="111"/>
      <c r="K75" s="111"/>
      <c r="L75" s="112"/>
    </row>
    <row r="76" spans="2:12" s="73" customFormat="1" ht="27" customHeight="1" thickBot="1">
      <c r="B76" s="141" t="s">
        <v>75</v>
      </c>
      <c r="C76" s="111"/>
      <c r="D76" s="112"/>
      <c r="E76" s="109">
        <f>E69</f>
        <v>670.48</v>
      </c>
      <c r="F76" s="110" t="str">
        <f>F69</f>
        <v>SEISCIENTOS SETENTA PESOS 48/100 M.N.</v>
      </c>
      <c r="G76" s="111"/>
      <c r="H76" s="111"/>
      <c r="I76" s="111"/>
      <c r="J76" s="111"/>
      <c r="K76" s="111"/>
      <c r="L76" s="112"/>
    </row>
    <row r="77" spans="2:12" s="73" customFormat="1" ht="14.45" customHeight="1" thickBot="1">
      <c r="B77" s="117" t="s">
        <v>76</v>
      </c>
      <c r="C77" s="112"/>
      <c r="D77" s="110" t="s">
        <v>7</v>
      </c>
      <c r="E77" s="111"/>
      <c r="F77" s="111"/>
      <c r="G77" s="111"/>
      <c r="H77" s="112"/>
      <c r="I77" s="117" t="s">
        <v>77</v>
      </c>
      <c r="J77" s="111"/>
      <c r="K77" s="112"/>
      <c r="L77" s="71" t="s">
        <v>9</v>
      </c>
    </row>
    <row r="78" spans="2:12" ht="26.45" customHeight="1" thickBot="1">
      <c r="B78" s="110" t="s">
        <v>10</v>
      </c>
      <c r="C78" s="112"/>
      <c r="D78" s="116" t="s">
        <v>11</v>
      </c>
      <c r="E78" s="111"/>
      <c r="F78" s="111"/>
      <c r="G78" s="111"/>
      <c r="H78" s="111"/>
      <c r="I78" s="111"/>
      <c r="J78" s="111"/>
      <c r="K78" s="111"/>
      <c r="L78" s="112"/>
    </row>
    <row r="79" spans="2:12" ht="9" customHeight="1" thickBot="1">
      <c r="B79" s="10"/>
      <c r="D79" s="1"/>
      <c r="J79" s="3"/>
      <c r="K79" s="72"/>
      <c r="L79" s="74"/>
    </row>
    <row r="80" spans="2:12" ht="30" customHeight="1" thickBot="1">
      <c r="B80" s="129" t="s">
        <v>78</v>
      </c>
      <c r="C80" s="111"/>
      <c r="D80" s="111"/>
      <c r="E80" s="111"/>
      <c r="F80" s="111"/>
      <c r="G80" s="111"/>
      <c r="H80" s="111"/>
      <c r="I80" s="111"/>
      <c r="J80" s="111"/>
      <c r="K80" s="111"/>
      <c r="L80" s="112"/>
    </row>
    <row r="81" spans="2:12" ht="10.15" customHeight="1" thickBot="1">
      <c r="B81" s="10"/>
      <c r="D81" s="1"/>
      <c r="J81" s="3"/>
      <c r="K81" s="72"/>
      <c r="L81" s="74"/>
    </row>
    <row r="82" spans="2:12" ht="12" customHeight="1">
      <c r="B82" s="136" t="s">
        <v>79</v>
      </c>
      <c r="C82" s="125"/>
      <c r="D82" s="126"/>
      <c r="E82" s="136" t="s">
        <v>80</v>
      </c>
      <c r="F82" s="125"/>
      <c r="G82" s="125"/>
      <c r="H82" s="125"/>
      <c r="I82" s="126"/>
      <c r="J82" s="136" t="s">
        <v>81</v>
      </c>
      <c r="K82" s="125"/>
      <c r="L82" s="126"/>
    </row>
    <row r="83" spans="2:12" ht="21" customHeight="1">
      <c r="B83" s="121" t="s">
        <v>82</v>
      </c>
      <c r="C83" s="131"/>
      <c r="D83" s="115"/>
      <c r="E83" s="113" t="s">
        <v>83</v>
      </c>
      <c r="F83" s="131"/>
      <c r="G83" s="114"/>
      <c r="H83" s="133"/>
      <c r="I83" s="115"/>
      <c r="J83" s="113" t="s">
        <v>84</v>
      </c>
      <c r="K83" s="114"/>
      <c r="L83" s="115"/>
    </row>
    <row r="84" spans="2:12" ht="27" customHeight="1" thickBot="1">
      <c r="B84" s="123"/>
      <c r="C84" s="119"/>
      <c r="D84" s="120"/>
      <c r="E84" s="134" t="s">
        <v>85</v>
      </c>
      <c r="F84" s="119"/>
      <c r="G84" s="119"/>
      <c r="H84" s="119"/>
      <c r="I84" s="120"/>
      <c r="J84" s="134" t="s">
        <v>86</v>
      </c>
      <c r="K84" s="119"/>
      <c r="L84" s="120"/>
    </row>
    <row r="85" spans="2:12" ht="14.25">
      <c r="B85" s="156" t="s">
        <v>87</v>
      </c>
      <c r="C85" s="125"/>
      <c r="D85" s="125"/>
      <c r="E85" s="125"/>
      <c r="F85" s="125"/>
      <c r="G85" s="125"/>
      <c r="H85" s="125"/>
      <c r="I85" s="125"/>
      <c r="J85" s="125"/>
      <c r="K85" s="125"/>
      <c r="L85" s="125"/>
    </row>
  </sheetData>
  <mergeCells count="132">
    <mergeCell ref="I3:J3"/>
    <mergeCell ref="C66:E66"/>
    <mergeCell ref="C35:F35"/>
    <mergeCell ref="I55:J55"/>
    <mergeCell ref="B10:C10"/>
    <mergeCell ref="J23:L23"/>
    <mergeCell ref="C16:F16"/>
    <mergeCell ref="C25:F25"/>
    <mergeCell ref="I75:L75"/>
    <mergeCell ref="G55:H55"/>
    <mergeCell ref="I4:J4"/>
    <mergeCell ref="B74:L74"/>
    <mergeCell ref="J43:K43"/>
    <mergeCell ref="D42:E42"/>
    <mergeCell ref="B68:L68"/>
    <mergeCell ref="K4:L4"/>
    <mergeCell ref="F44:G44"/>
    <mergeCell ref="B85:L85"/>
    <mergeCell ref="G56:H56"/>
    <mergeCell ref="J44:K44"/>
    <mergeCell ref="C23:F23"/>
    <mergeCell ref="J36:L36"/>
    <mergeCell ref="B59:L59"/>
    <mergeCell ref="C38:F38"/>
    <mergeCell ref="G18:I18"/>
    <mergeCell ref="C54:F55"/>
    <mergeCell ref="H44:I44"/>
    <mergeCell ref="B69:D69"/>
    <mergeCell ref="D77:H77"/>
    <mergeCell ref="J31:L31"/>
    <mergeCell ref="G35:I35"/>
    <mergeCell ref="G54:L54"/>
    <mergeCell ref="G25:I25"/>
    <mergeCell ref="I77:K77"/>
    <mergeCell ref="B83:D84"/>
    <mergeCell ref="B9:C9"/>
    <mergeCell ref="J82:L82"/>
    <mergeCell ref="C31:F31"/>
    <mergeCell ref="B50:D52"/>
    <mergeCell ref="H42:I42"/>
    <mergeCell ref="G23:I23"/>
    <mergeCell ref="J42:K42"/>
    <mergeCell ref="B20:L20"/>
    <mergeCell ref="K57:L57"/>
    <mergeCell ref="H9:J9"/>
    <mergeCell ref="B6:L6"/>
    <mergeCell ref="J37:L37"/>
    <mergeCell ref="B80:L80"/>
    <mergeCell ref="G17:I17"/>
    <mergeCell ref="J30:L30"/>
    <mergeCell ref="K3:L3"/>
    <mergeCell ref="D9:G9"/>
    <mergeCell ref="B7:L7"/>
    <mergeCell ref="B72:L72"/>
    <mergeCell ref="B61:G61"/>
    <mergeCell ref="H43:I43"/>
    <mergeCell ref="K9:L9"/>
    <mergeCell ref="C57:F57"/>
    <mergeCell ref="B71:L71"/>
    <mergeCell ref="C18:F18"/>
    <mergeCell ref="J32:L32"/>
    <mergeCell ref="F69:L69"/>
    <mergeCell ref="G29:I29"/>
    <mergeCell ref="C58:F58"/>
    <mergeCell ref="J18:L18"/>
    <mergeCell ref="G31:I31"/>
    <mergeCell ref="C29:F29"/>
    <mergeCell ref="B34:L34"/>
    <mergeCell ref="L50:L51"/>
    <mergeCell ref="J84:L84"/>
    <mergeCell ref="B63:L63"/>
    <mergeCell ref="C36:F36"/>
    <mergeCell ref="J15:L15"/>
    <mergeCell ref="J24:L24"/>
    <mergeCell ref="C17:F17"/>
    <mergeCell ref="D11:L11"/>
    <mergeCell ref="G37:I37"/>
    <mergeCell ref="C75:E75"/>
    <mergeCell ref="B82:D82"/>
    <mergeCell ref="J26:L26"/>
    <mergeCell ref="E83:I83"/>
    <mergeCell ref="K55:L55"/>
    <mergeCell ref="G30:I30"/>
    <mergeCell ref="D43:E44"/>
    <mergeCell ref="I57:J57"/>
    <mergeCell ref="J16:L16"/>
    <mergeCell ref="B11:C11"/>
    <mergeCell ref="C30:F30"/>
    <mergeCell ref="F42:G42"/>
    <mergeCell ref="E84:I84"/>
    <mergeCell ref="I56:J56"/>
    <mergeCell ref="K56:L56"/>
    <mergeCell ref="I61:L61"/>
    <mergeCell ref="B13:L13"/>
    <mergeCell ref="C26:F26"/>
    <mergeCell ref="G58:H58"/>
    <mergeCell ref="B54:B55"/>
    <mergeCell ref="B40:L40"/>
    <mergeCell ref="F76:L76"/>
    <mergeCell ref="J29:L29"/>
    <mergeCell ref="F43:G43"/>
    <mergeCell ref="D10:L10"/>
    <mergeCell ref="I66:L66"/>
    <mergeCell ref="J38:L38"/>
    <mergeCell ref="G36:I36"/>
    <mergeCell ref="C56:F56"/>
    <mergeCell ref="B64:L64"/>
    <mergeCell ref="G32:I32"/>
    <mergeCell ref="B76:D76"/>
    <mergeCell ref="B28:L28"/>
    <mergeCell ref="J17:L17"/>
    <mergeCell ref="G38:I38"/>
    <mergeCell ref="J83:L83"/>
    <mergeCell ref="J35:L35"/>
    <mergeCell ref="C32:F32"/>
    <mergeCell ref="C37:F37"/>
    <mergeCell ref="G15:I15"/>
    <mergeCell ref="B77:C77"/>
    <mergeCell ref="G24:I24"/>
    <mergeCell ref="D78:L78"/>
    <mergeCell ref="J25:L25"/>
    <mergeCell ref="B21:L21"/>
    <mergeCell ref="B42:C44"/>
    <mergeCell ref="G57:H57"/>
    <mergeCell ref="C15:F15"/>
    <mergeCell ref="G26:I26"/>
    <mergeCell ref="C24:F24"/>
    <mergeCell ref="I58:J58"/>
    <mergeCell ref="K58:L58"/>
    <mergeCell ref="G16:I16"/>
    <mergeCell ref="B78:C78"/>
    <mergeCell ref="E82:I82"/>
  </mergeCells>
  <printOptions horizontalCentered="1"/>
  <pageMargins left="0.70866141732283472" right="0.70866141732283472" top="0.74803149606299213" bottom="0.74803149606299213" header="0.31496062992125978" footer="0.31496062992125978"/>
  <pageSetup scale="81" fitToHeight="0" orientation="landscape"/>
  <headerFooter>
    <oddHeader>&amp;L&amp;G&amp;C&amp;"-,Negrita""2026 AÑO DEL HUMANISMO MEXICANO DEL ESTADO DE MÉXICO"
ESTUDIO DE MERCADO&amp;R&amp;G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42"/>
  <sheetViews>
    <sheetView workbookViewId="0">
      <selection activeCell="F14" sqref="F14"/>
    </sheetView>
  </sheetViews>
  <sheetFormatPr baseColWidth="10" defaultColWidth="11.625" defaultRowHeight="12.75"/>
  <cols>
    <col min="1" max="1" width="11.375" style="78" customWidth="1"/>
    <col min="2" max="2" width="38.75" style="80" bestFit="1" customWidth="1"/>
    <col min="3" max="3" width="10.375" style="80" bestFit="1" customWidth="1"/>
    <col min="4" max="4" width="8.75" style="81" customWidth="1"/>
    <col min="5" max="5" width="10.25" style="81" bestFit="1" customWidth="1"/>
    <col min="6" max="6" width="11.625" style="77" customWidth="1"/>
    <col min="7" max="16384" width="11.625" style="77"/>
  </cols>
  <sheetData>
    <row r="5" spans="1:5" ht="18" customHeight="1">
      <c r="A5" s="179"/>
      <c r="B5" s="169"/>
      <c r="C5" s="169"/>
      <c r="D5" s="170"/>
      <c r="E5" s="170"/>
    </row>
    <row r="6" spans="1:5" ht="16.5" customHeight="1">
      <c r="A6" s="173"/>
      <c r="B6" s="169"/>
      <c r="C6" s="169"/>
      <c r="D6" s="170"/>
      <c r="E6" s="170"/>
    </row>
    <row r="7" spans="1:5">
      <c r="B7" s="78"/>
      <c r="C7" s="78"/>
      <c r="D7" s="78"/>
      <c r="E7" s="78"/>
    </row>
    <row r="8" spans="1:5" ht="13.5">
      <c r="A8" s="79"/>
      <c r="B8" s="177" t="s">
        <v>88</v>
      </c>
      <c r="C8" s="169"/>
      <c r="D8" s="183" t="s">
        <v>89</v>
      </c>
      <c r="E8" s="170"/>
    </row>
    <row r="9" spans="1:5">
      <c r="A9" s="79"/>
      <c r="B9" s="79"/>
      <c r="C9" s="79"/>
      <c r="D9" s="79"/>
      <c r="E9" s="79"/>
    </row>
    <row r="10" spans="1:5">
      <c r="A10" s="171" t="s">
        <v>90</v>
      </c>
      <c r="B10" s="169"/>
      <c r="C10" s="169"/>
      <c r="D10" s="170"/>
      <c r="E10" s="170"/>
    </row>
    <row r="11" spans="1:5">
      <c r="A11" s="171" t="s">
        <v>83</v>
      </c>
      <c r="B11" s="169"/>
      <c r="C11" s="169"/>
      <c r="D11" s="170"/>
      <c r="E11" s="170"/>
    </row>
    <row r="12" spans="1:5">
      <c r="A12" s="171" t="s">
        <v>85</v>
      </c>
      <c r="B12" s="169"/>
      <c r="C12" s="169"/>
      <c r="D12" s="170"/>
      <c r="E12" s="170"/>
    </row>
    <row r="13" spans="1:5" ht="13.5">
      <c r="A13" s="184" t="s">
        <v>91</v>
      </c>
      <c r="B13" s="169"/>
      <c r="C13" s="169"/>
      <c r="D13" s="170"/>
      <c r="E13" s="170"/>
    </row>
    <row r="14" spans="1:5" ht="13.5" customHeight="1">
      <c r="A14" s="172" t="s">
        <v>92</v>
      </c>
      <c r="B14" s="169"/>
      <c r="C14" s="169"/>
      <c r="D14" s="170"/>
      <c r="E14" s="170"/>
    </row>
    <row r="15" spans="1:5">
      <c r="B15" s="78"/>
      <c r="C15" s="78"/>
      <c r="D15" s="78"/>
      <c r="E15" s="78"/>
    </row>
    <row r="16" spans="1:5" ht="13.5">
      <c r="A16" s="174" t="s">
        <v>93</v>
      </c>
      <c r="B16" s="169"/>
      <c r="C16" s="169"/>
      <c r="D16" s="170"/>
      <c r="E16" s="170"/>
    </row>
    <row r="18" spans="1:8" ht="25.5" customHeight="1">
      <c r="A18" s="82" t="s">
        <v>38</v>
      </c>
      <c r="B18" s="82" t="s">
        <v>94</v>
      </c>
      <c r="C18" s="82" t="s">
        <v>39</v>
      </c>
      <c r="D18" s="83" t="s">
        <v>95</v>
      </c>
      <c r="E18" s="83" t="s">
        <v>41</v>
      </c>
    </row>
    <row r="19" spans="1:8" ht="23.25" customHeight="1">
      <c r="A19" s="84"/>
      <c r="B19" s="85" t="str">
        <f>Hoja1!C46</f>
        <v>SERVER1</v>
      </c>
      <c r="C19" s="84"/>
      <c r="D19" s="86">
        <f>Hoja1!F46</f>
        <v>200</v>
      </c>
      <c r="E19" s="86">
        <f>C19*D19</f>
        <v>0</v>
      </c>
    </row>
    <row r="20" spans="1:8" ht="25.5" customHeight="1">
      <c r="A20" s="84"/>
      <c r="B20" s="85" t="str">
        <f>Hoja1!C47</f>
        <v>SERVER 2</v>
      </c>
      <c r="C20" s="84"/>
      <c r="D20" s="86">
        <f>Hoja1!F47</f>
        <v>200</v>
      </c>
      <c r="E20" s="86">
        <f>C20*D20</f>
        <v>0</v>
      </c>
    </row>
    <row r="21" spans="1:8" ht="26.25" customHeight="1">
      <c r="A21" s="84"/>
      <c r="B21" s="85" t="str">
        <f>Hoja1!C48</f>
        <v>SERVER</v>
      </c>
      <c r="C21" s="84"/>
      <c r="D21" s="86">
        <f>Hoja1!F48</f>
        <v>178</v>
      </c>
      <c r="E21" s="86">
        <f>C21*D21</f>
        <v>0</v>
      </c>
    </row>
    <row r="22" spans="1:8" ht="25.5" customHeight="1">
      <c r="A22" s="84"/>
      <c r="B22" s="85" t="str">
        <f>Hoja1!C49</f>
        <v>SERVICIO DE DESINFECCIÓN EN COMEDOR COMUNITARIO</v>
      </c>
      <c r="C22" s="84"/>
      <c r="D22" s="86">
        <f>Hoja1!F49</f>
        <v>1000</v>
      </c>
      <c r="E22" s="86">
        <f>C22*D22</f>
        <v>0</v>
      </c>
    </row>
    <row r="23" spans="1:8" ht="14.25">
      <c r="A23" s="180" t="s">
        <v>96</v>
      </c>
      <c r="B23" s="181"/>
      <c r="C23" s="87"/>
      <c r="D23" s="88" t="s">
        <v>48</v>
      </c>
      <c r="E23" s="89">
        <f>SUM(E19:E22)</f>
        <v>0</v>
      </c>
    </row>
    <row r="24" spans="1:8">
      <c r="A24" s="175" t="s">
        <v>97</v>
      </c>
      <c r="B24" s="169"/>
      <c r="C24" s="169"/>
      <c r="D24" s="88" t="s">
        <v>49</v>
      </c>
      <c r="E24" s="89"/>
      <c r="H24" s="90"/>
    </row>
    <row r="25" spans="1:8">
      <c r="A25" s="176"/>
      <c r="B25" s="169"/>
      <c r="C25" s="169"/>
      <c r="D25" s="88" t="s">
        <v>50</v>
      </c>
      <c r="E25" s="91">
        <f>SUM(E23:E24)</f>
        <v>0</v>
      </c>
    </row>
    <row r="27" spans="1:8" ht="13.5" customHeight="1">
      <c r="A27" s="178" t="s">
        <v>98</v>
      </c>
      <c r="B27" s="169"/>
      <c r="C27" s="169"/>
      <c r="D27" s="170"/>
      <c r="E27" s="170"/>
    </row>
    <row r="28" spans="1:8" ht="13.5" customHeight="1">
      <c r="A28" s="92"/>
      <c r="B28" s="92"/>
      <c r="C28" s="93"/>
      <c r="D28" s="94"/>
      <c r="E28" s="94"/>
    </row>
    <row r="29" spans="1:8" ht="13.5" customHeight="1">
      <c r="A29" s="95" t="s">
        <v>99</v>
      </c>
      <c r="B29" s="95"/>
      <c r="C29" s="93"/>
      <c r="D29" s="94"/>
      <c r="E29" s="94"/>
    </row>
    <row r="30" spans="1:8" ht="27" customHeight="1">
      <c r="A30" s="168"/>
      <c r="B30" s="169"/>
      <c r="C30" s="169"/>
      <c r="D30" s="170"/>
      <c r="E30" s="170"/>
    </row>
    <row r="31" spans="1:8" ht="13.5" customHeight="1">
      <c r="A31" s="182" t="s">
        <v>58</v>
      </c>
      <c r="B31" s="169"/>
      <c r="C31" s="93"/>
      <c r="D31" s="94"/>
      <c r="E31" s="94"/>
    </row>
    <row r="32" spans="1:8" ht="55.5" customHeight="1">
      <c r="A32" s="168"/>
      <c r="B32" s="169"/>
      <c r="C32" s="169"/>
      <c r="D32" s="170"/>
      <c r="E32" s="170"/>
    </row>
    <row r="33" spans="1:5" ht="13.5" customHeight="1">
      <c r="A33" s="95" t="s">
        <v>100</v>
      </c>
      <c r="B33" s="93"/>
      <c r="C33" s="93"/>
      <c r="D33" s="94"/>
      <c r="E33" s="94"/>
    </row>
    <row r="34" spans="1:5" ht="13.5" customHeight="1">
      <c r="A34" s="168" t="s">
        <v>101</v>
      </c>
      <c r="B34" s="169"/>
      <c r="C34" s="169"/>
      <c r="D34" s="170"/>
      <c r="E34" s="170"/>
    </row>
    <row r="35" spans="1:5" ht="13.5" customHeight="1">
      <c r="A35" s="182" t="s">
        <v>102</v>
      </c>
      <c r="B35" s="169"/>
      <c r="C35" s="93"/>
      <c r="D35" s="94"/>
      <c r="E35" s="94"/>
    </row>
    <row r="36" spans="1:5" ht="13.5" customHeight="1">
      <c r="A36" s="172" t="s">
        <v>103</v>
      </c>
      <c r="B36" s="169"/>
      <c r="C36" s="169"/>
      <c r="D36" s="170"/>
      <c r="E36" s="170"/>
    </row>
    <row r="37" spans="1:5" ht="13.5" customHeight="1">
      <c r="A37" s="92"/>
      <c r="B37" s="93"/>
      <c r="C37" s="93"/>
      <c r="D37" s="94"/>
      <c r="E37" s="94"/>
    </row>
    <row r="38" spans="1:5" ht="13.5" customHeight="1">
      <c r="A38" s="172" t="s">
        <v>104</v>
      </c>
      <c r="B38" s="169"/>
      <c r="C38" s="169"/>
      <c r="D38" s="170"/>
      <c r="E38" s="170"/>
    </row>
    <row r="39" spans="1:5" ht="13.5" customHeight="1">
      <c r="A39" s="92"/>
      <c r="B39" s="93"/>
      <c r="C39" s="93"/>
      <c r="D39" s="94"/>
      <c r="E39" s="94"/>
    </row>
    <row r="40" spans="1:5" ht="13.5" customHeight="1">
      <c r="A40" s="92"/>
      <c r="B40" s="96" t="s">
        <v>105</v>
      </c>
      <c r="C40" s="93"/>
      <c r="D40" s="94"/>
      <c r="E40" s="94"/>
    </row>
    <row r="41" spans="1:5" ht="26.25" customHeight="1">
      <c r="A41" s="92"/>
      <c r="B41" s="97"/>
      <c r="C41" s="93"/>
      <c r="D41" s="94"/>
      <c r="E41" s="94"/>
    </row>
    <row r="42" spans="1:5">
      <c r="A42" s="98"/>
      <c r="B42" s="99"/>
      <c r="C42" s="99"/>
      <c r="D42" s="100"/>
      <c r="E42" s="100"/>
    </row>
  </sheetData>
  <mergeCells count="20">
    <mergeCell ref="A38:E38"/>
    <mergeCell ref="A10:E10"/>
    <mergeCell ref="A13:E13"/>
    <mergeCell ref="A31:B31"/>
    <mergeCell ref="A5:E5"/>
    <mergeCell ref="A32:E32"/>
    <mergeCell ref="A23:B23"/>
    <mergeCell ref="A14:E14"/>
    <mergeCell ref="A35:B35"/>
    <mergeCell ref="D8:E8"/>
    <mergeCell ref="A30:E30"/>
    <mergeCell ref="A34:E34"/>
    <mergeCell ref="A11:E11"/>
    <mergeCell ref="A36:E36"/>
    <mergeCell ref="A6:E6"/>
    <mergeCell ref="A16:E16"/>
    <mergeCell ref="A24:C25"/>
    <mergeCell ref="B8:C8"/>
    <mergeCell ref="A27:E27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analau.antonio@gmail.com</dc:creator>
  <cp:lastModifiedBy>Kevin Valdemar</cp:lastModifiedBy>
  <cp:lastPrinted>2026-08-13T20:18:48Z</cp:lastPrinted>
  <dcterms:created xsi:type="dcterms:W3CDTF">2026-08-13T18:59:13Z</dcterms:created>
  <dcterms:modified xsi:type="dcterms:W3CDTF">2026-08-31T17:51:27Z</dcterms:modified>
</cp:coreProperties>
</file>